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83c1328fe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表(包含飯錢)" sheetId="1" r:id="Re8814b0bbb1e45e6"/>
    <x:sheet xmlns:r="http://schemas.openxmlformats.org/officeDocument/2006/relationships" name="純戰鬥紀錄" sheetId="2" r:id="R91a6231fa7bb455c"/>
    <x:sheet xmlns:r="http://schemas.openxmlformats.org/officeDocument/2006/relationships" name="分析" sheetId="3" r:id="R6705ddb0196540bb"/>
    <x:sheet xmlns:r="http://schemas.openxmlformats.org/officeDocument/2006/relationships" name="260926" sheetId="4" r:id="R0fcc463b35414172"/>
    <x:sheet xmlns:r="http://schemas.openxmlformats.org/officeDocument/2006/relationships" name="260912" sheetId="5" r:id="R23a802615601408a"/>
    <x:sheet xmlns:r="http://schemas.openxmlformats.org/officeDocument/2006/relationships" name="260829" sheetId="6" r:id="R8765b0a9e53b4335"/>
    <x:sheet xmlns:r="http://schemas.openxmlformats.org/officeDocument/2006/relationships" name="260815" sheetId="7" r:id="R136d9654cc0840e6"/>
    <x:sheet xmlns:r="http://schemas.openxmlformats.org/officeDocument/2006/relationships" name="260731" sheetId="8" r:id="R36d4ee1d6f394fb8"/>
    <x:sheet xmlns:r="http://schemas.openxmlformats.org/officeDocument/2006/relationships" name="260725" sheetId="9" r:id="Re7a8f5ddab714828"/>
    <x:sheet xmlns:r="http://schemas.openxmlformats.org/officeDocument/2006/relationships" name="Clean_Sessions" sheetId="10" r:id="R24f1a2f7594941a9"/>
    <x:sheet xmlns:r="http://schemas.openxmlformats.org/officeDocument/2006/relationships" name="Clean_SessionResults" sheetId="11" r:id="Rd56024d438064ff5"/>
  </x:sheets>
</x:workbook>
</file>

<file path=xl/sharedStrings.xml><?xml version="1.0" encoding="utf-8"?>
<x:sst xmlns:x="http://schemas.openxmlformats.org/spreadsheetml/2006/main">
  <x:si>
    <x:t xml:space="preserve">強的可怕</x:t>
  </x:si>
  <x:si>
    <x:t xml:space="preserve">KK之王</x:t>
  </x:si>
  <x:si>
    <x:t xml:space="preserve">河牌幹死你</x:t>
  </x:si>
  <x:si>
    <x:t xml:space="preserve">淡水金城武</x:t>
  </x:si>
  <x:si>
    <x:t xml:space="preserve">威</x:t>
  </x:si>
  <x:si>
    <x:t xml:space="preserve">葉</x:t>
  </x:si>
  <x:si>
    <x:t xml:space="preserve">中</x:t>
  </x:si>
  <x:si>
    <x:t xml:space="preserve">Kai</x:t>
  </x:si>
  <x:si>
    <x:t xml:space="preserve">z隕石毀滅者</x:t>
  </x:si>
  <x:si>
    <x:t xml:space="preserve">小騷屄</x:t>
  </x:si>
  <x:si>
    <x:t xml:space="preserve">PPAW</x:t>
  </x:si>
  <x:si>
    <x:t xml:space="preserve">我是你爸</x:t>
  </x:si>
  <x:si>
    <x:t xml:space="preserve">檢查</x:t>
  </x:si>
  <x:si>
    <x:t xml:space="preserve">遠古時代</x:t>
  </x:si>
  <x:si>
    <x:t xml:space="preserve">戰鬥紀錄</x:t>
  </x:si>
  <x:si>
    <x:t xml:space="preserve">累積戰績</x:t>
  </x:si>
  <x:si>
    <x:t xml:space="preserve">回撤統計</x:t>
  </x:si>
  <x:si>
    <x:t xml:space="preserve">累積戰績(開關連動用)</x:t>
  </x:si>
  <x:si>
    <x:t xml:space="preserve">最高點</x:t>
  </x:si>
  <x:si>
    <x:t xml:space="preserve">當前回撤</x:t>
  </x:si>
  <x:si>
    <x:t xml:space="preserve">BB</x:t>
  </x:si>
  <x:si>
    <x:t xml:space="preserve">局數</x:t>
  </x:si>
  <x:si>
    <x:t xml:space="preserve">總損益</x:t>
  </x:si>
  <x:si>
    <x:t xml:space="preserve">bb/100</x:t>
  </x:si>
  <x:si>
    <x:t xml:space="preserve">單局標準差</x:t>
  </x:si>
  <x:si>
    <x:t xml:space="preserve">百局標準差</x:t>
  </x:si>
  <x:si>
    <x:t xml:space="preserve">勝率</x:t>
  </x:si>
  <x:si>
    <x:t xml:space="preserve">勝局平均獲利</x:t>
  </x:si>
  <x:si>
    <x:t xml:space="preserve">敗局平均虧損</x:t>
  </x:si>
  <x:si>
    <x:t xml:space="preserve">盈虧比</x:t>
  </x:si>
  <x:si>
    <x:t xml:space="preserve">高點</x:t>
  </x:si>
  <x:si>
    <x:t xml:space="preserve">低點</x:t>
  </x:si>
  <x:si>
    <x:t xml:space="preserve">最大回撤</x:t>
  </x:si>
  <x:si>
    <x:t xml:space="preserve">每百局風險報酬比</x:t>
  </x:si>
  <x:si>
    <x:t xml:space="preserve">折線圖開關</x:t>
  </x:si>
  <x:si>
    <x:t xml:space="preserve">雜色河殺</x:t>
  </x:si>
  <x:si>
    <x:t xml:space="preserve">小妹你別</x:t>
  </x:si>
  <x:si>
    <x:t xml:space="preserve">poker queen 👑</x:t>
  </x:si>
  <x:si>
    <x:t xml:space="preserve">威寶</x:t>
  </x:si>
  <x:si>
    <x:t xml:space="preserve">合計</x:t>
  </x:si>
  <x:si>
    <x:t xml:space="preserve">飲料</x:t>
  </x:si>
  <x:si>
    <x:t xml:space="preserve">總計</x:t>
  </x:si>
  <x:si>
    <x:t xml:space="preserve">大舅哥</x:t>
  </x:si>
  <x:si>
    <x:t xml:space="preserve">帥潮</x:t>
  </x:si>
  <x:si>
    <x:t xml:space="preserve">註</x:t>
  </x:si>
  <x:si>
    <x:t xml:space="preserve">涼麵</x:t>
  </x:si>
  <x:si>
    <x:t xml:space="preserve">我是你爸、帥潮先結</x:t>
  </x:si>
  <x:si>
    <x:t xml:space="preserve">調整</x:t>
  </x:si>
  <x:si>
    <x:t xml:space="preserve">0815結</x:t>
  </x:si>
  <x:si>
    <x:t xml:space="preserve">0731結</x:t>
  </x:si>
  <x:si>
    <x:t xml:space="preserve">Z隕石毀滅者</x:t>
  </x:si>
  <x:si>
    <x:t xml:space="preserve">Kai、Z隕石毀滅者先結</x:t>
  </x:si>
  <x:si>
    <x:t xml:space="preserve">我猜是飯錢</x:t>
  </x:si>
  <x:si>
    <x:t xml:space="preserve">0725結</x:t>
  </x:si>
</x:sst>
</file>

<file path=xl/styles.xml><?xml version="1.0" encoding="utf-8"?>
<x:styleSheet xmlns:x="http://schemas.openxmlformats.org/spreadsheetml/2006/main">
  <x:numFmts count="4">
    <x:numFmt numFmtId="164" formatCode="yyyy/m/d"/>
    <x:numFmt numFmtId="165" formatCode="0.000"/>
    <x:numFmt numFmtId="200" formatCode="#,##0.###"/>
    <x:numFmt numFmtId="201" formatCode="0"/>
  </x:numFmts>
  <x:fonts count="4">
    <x:font>
      <x:sz val="10"/>
      <x:color rgb="FF000000"/>
      <x:name val="Arial"/>
    </x:font>
    <x:font>
      <x:color theme="1"/>
      <x:name val="Arial"/>
    </x:font>
    <x:font/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5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/>
    <x:xf numFmtId="0" fontId="1" fillId="0" borderId="1" xfId="0" applyFont="1" applyBorder="1" applyAlignment="1">
      <x:alignment horizontal="center"/>
    </x:xf>
    <x:xf numFmtId="0" fontId="2" fillId="0" borderId="2" xfId="0" applyFont="1" applyBorder="1"/>
    <x:xf numFmtId="164" fontId="1" fillId="0" borderId="0" xfId="0" applyNumberFormat="1" applyFont="1" applyAlignment="1"/>
    <x:xf numFmtId="0" fontId="2" fillId="0" borderId="3" xfId="0" applyFont="1" applyBorder="1"/>
    <x:xf numFmtId="0" fontId="1" fillId="0" borderId="4" xfId="0" applyFont="1" applyBorder="1" applyAlignment="1">
      <x:alignment horizontal="center"/>
    </x:xf>
    <x:xf numFmtId="0" fontId="1" fillId="0" borderId="5" xfId="0" applyFont="1" applyBorder="1" applyAlignment="1">
      <x:alignment horizontal="center"/>
    </x:xf>
    <x:xf numFmtId="0" fontId="1" fillId="0" borderId="6" xfId="0" applyFont="1" applyBorder="1" applyAlignment="1"/>
    <x:xf numFmtId="0" fontId="1" fillId="0" borderId="7" xfId="0" applyFont="1" applyBorder="1" applyAlignment="1"/>
    <x:xf numFmtId="0" fontId="1" fillId="0" borderId="7" xfId="0" applyFont="1" applyBorder="1"/>
    <x:xf numFmtId="0" fontId="1" fillId="0" borderId="8" xfId="0" applyFont="1" applyBorder="1"/>
    <x:xf numFmtId="0" fontId="1" fillId="0" borderId="6" xfId="0" applyFont="1" applyBorder="1"/>
    <x:xf numFmtId="0" fontId="1" fillId="0" borderId="8" xfId="0" applyFont="1" applyBorder="1" applyAlignment="1"/>
    <x:xf numFmtId="0" fontId="1" fillId="0" borderId="4" xfId="0" applyFont="1" applyBorder="1" applyAlignment="1"/>
    <x:xf numFmtId="0" fontId="3" fillId="0" borderId="4" xfId="0" applyFont="1" applyBorder="1" applyAlignment="1">
      <x:alignment vertical="bottom"/>
    </x:xf>
    <x:xf numFmtId="0" fontId="3" fillId="0" borderId="4" xfId="0" applyFont="1" applyBorder="1" applyAlignment="1">
      <x:alignment vertical="bottom"/>
    </x:xf>
    <x:xf numFmtId="0" fontId="1" fillId="0" borderId="9" xfId="0" applyFont="1" applyBorder="1" applyAlignment="1"/>
    <x:xf numFmtId="0" fontId="1" fillId="0" borderId="10" xfId="0" applyFont="1" applyBorder="1"/>
    <x:xf numFmtId="0" fontId="1" fillId="0" borderId="9" xfId="0" applyFont="1" applyBorder="1"/>
    <x:xf numFmtId="0" fontId="1" fillId="0" borderId="10" xfId="0" applyFont="1" applyBorder="1" applyAlignment="1"/>
    <x:xf numFmtId="0" fontId="1" fillId="0" borderId="1" xfId="0" applyFont="1" applyBorder="1" applyAlignment="1"/>
    <x:xf numFmtId="0" fontId="1" fillId="0" borderId="3" xfId="0" applyFont="1" applyBorder="1" applyAlignment="1"/>
    <x:xf numFmtId="0" fontId="1" fillId="0" borderId="11" xfId="0" applyFont="1" applyBorder="1"/>
    <x:xf numFmtId="0" fontId="1" fillId="0" borderId="11" xfId="0" applyFont="1" applyBorder="1" applyAlignment="1">
      <x:alignment horizontal="center"/>
    </x:xf>
    <x:xf numFmtId="0" fontId="1" fillId="0" borderId="11" xfId="0" applyFont="1" applyBorder="1" applyAlignment="1"/>
    <x:xf numFmtId="2" fontId="1" fillId="0" borderId="11" xfId="0" applyNumberFormat="1" applyFont="1" applyBorder="1"/>
    <x:xf numFmtId="10" fontId="1" fillId="0" borderId="11" xfId="0" applyNumberFormat="1" applyFont="1" applyBorder="1"/>
    <x:xf numFmtId="165" fontId="1" fillId="0" borderId="11" xfId="0" applyNumberFormat="1" applyFont="1" applyBorder="1"/>
    <x:xf numFmtId="0" fontId="1" fillId="0" borderId="12" xfId="0" applyFont="1" applyBorder="1" applyAlignment="1"/>
    <x:xf numFmtId="0" fontId="1" fillId="0" borderId="13" xfId="0" applyFont="1" applyBorder="1" applyAlignment="1"/>
    <x:xf numFmtId="0" fontId="1" fillId="0" borderId="13" xfId="0" applyFont="1" applyBorder="1"/>
    <x:xf numFmtId="0" fontId="1" fillId="0" borderId="14" xfId="0" applyFont="1" applyBorder="1"/>
    <x:xf numFmtId="0" fontId="1" fillId="0" borderId="12" xfId="0" applyFont="1" applyBorder="1"/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4CE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9c35f77d146e3" /><Relationship Type="http://schemas.openxmlformats.org/officeDocument/2006/relationships/theme" Target="/xl/theme/theme1.xml" Id="R0435a1cd88de4230" /><Relationship Type="http://schemas.microsoft.com/office/2022/11/relationships/FeaturePropertyBag" Target="/xl/featurePropertyBag/featurePropertyBag.xml" Id="R0f6bfed6b9ed449f" /><Relationship Type="http://schemas.openxmlformats.org/officeDocument/2006/relationships/sharedStrings" Target="/xl/sharedStrings.xml" Id="R56ea3c4714a64d17" /><Relationship Type="http://schemas.openxmlformats.org/officeDocument/2006/relationships/worksheet" Target="/xl/worksheets/sheet1.xml" Id="Re8814b0bbb1e45e6" /><Relationship Type="http://schemas.openxmlformats.org/officeDocument/2006/relationships/worksheet" Target="/xl/worksheets/sheet2.xml" Id="R91a6231fa7bb455c" /><Relationship Type="http://schemas.openxmlformats.org/officeDocument/2006/relationships/worksheet" Target="/xl/worksheets/sheet3.xml" Id="R6705ddb0196540bb" /><Relationship Type="http://schemas.openxmlformats.org/officeDocument/2006/relationships/worksheet" Target="/xl/worksheets/sheet4.xml" Id="R0fcc463b35414172" /><Relationship Type="http://schemas.openxmlformats.org/officeDocument/2006/relationships/worksheet" Target="/xl/worksheets/sheet5.xml" Id="R23a802615601408a" /><Relationship Type="http://schemas.openxmlformats.org/officeDocument/2006/relationships/worksheet" Target="/xl/worksheets/sheet6.xml" Id="R8765b0a9e53b4335" /><Relationship Type="http://schemas.openxmlformats.org/officeDocument/2006/relationships/worksheet" Target="/xl/worksheets/sheet7.xml" Id="R136d9654cc0840e6" /><Relationship Type="http://schemas.openxmlformats.org/officeDocument/2006/relationships/worksheet" Target="/xl/worksheets/sheet8.xml" Id="R36d4ee1d6f394fb8" /><Relationship Type="http://schemas.openxmlformats.org/officeDocument/2006/relationships/worksheet" Target="/xl/worksheets/sheet9.xml" Id="Re7a8f5ddab714828" /><Relationship Type="http://schemas.openxmlformats.org/officeDocument/2006/relationships/worksheet" Target="/xl/worksheets/sheet10.xml" Id="R24f1a2f7594941a9" /><Relationship Type="http://schemas.openxmlformats.org/officeDocument/2006/relationships/worksheet" Target="/xl/worksheets/sheet11.xml" Id="Rd56024d438064f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d68a808246430b" /><Relationship Type="http://schemas.openxmlformats.org/officeDocument/2006/relationships/chart" Target="/xl/drawings/charts/chart2.xml" Id="Re4063f799dec40fc" /><Relationship Type="http://schemas.openxmlformats.org/officeDocument/2006/relationships/chart" Target="/xl/drawings/charts/chart3.xml" Id="Rcac05eeb0ffa444e" /><Relationship Type="http://schemas.openxmlformats.org/officeDocument/2006/relationships/chart" Target="/xl/drawings/charts/chart4.xml" Id="R6f772eb220ed47b2" /><Relationship Type="http://schemas.openxmlformats.org/officeDocument/2006/relationships/chart" Target="/xl/drawings/charts/chart5.xml" Id="Rd6e207b5e9e14af1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000" b="0">
                <a:solidFill>
                  <a:srgbClr val="0000FF"/>
                </a:solidFill>
                <a:latin typeface="Arial"/>
                <a:ea typeface="Arial"/>
                <a:cs typeface="Arial"/>
              </a:rPr>
              <a:t>勝率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2000" b="0">
              <a:solidFill>
                <a:srgbClr val="0000FF"/>
              </a:solidFill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strRef>
              <c:f>'分析'!$B$9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c:spPr>
          <c:cat>
            <c:strLit>
              <c:ptCount val="0"/>
            </c:strLit>
          </c:cat>
          <c:val>
            <c:numRef>
              <c:f>'分析'!$C$9:$I$9</c:f>
              <c:numCache>
                <c:formatCode>0.00%</c:formatCode>
                <c:ptCount val="0"/>
              </c:numCache>
            </c:numRef>
          </c:val>
        </c:ser>
        <c:axId val="1920432599"/>
        <c:axId val="1922936498"/>
      </c:barChart>
      <c:catAx>
        <c:axId val="1920432599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22936498"/>
      </c:catAx>
      <c:valAx>
        <c:axId val="1922936498"/>
        <c:scaling>
          <c:orientation val="minMax"/>
          <c:max val="0.65"/>
          <c:min val="0.35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勝率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%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20432599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0000FF"/>
                </a:solidFill>
                <a:latin typeface="+mn-lt"/>
                <a:ea typeface="+mn-lt"/>
                <a:cs typeface="+mn-lt"/>
              </a:rPr>
              <a:t>bb/100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0000FF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strRef>
              <c:f>'分析'!$B$6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'分析'!$C$6:$I$6</c:f>
              <c:numCache>
                <c:formatCode>General</c:formatCode>
                <c:ptCount val="0"/>
              </c:numCache>
            </c:numRef>
          </c:val>
        </c:ser>
        <c:axId val="1918009459"/>
        <c:axId val="1339101272"/>
      </c:barChart>
      <c:catAx>
        <c:axId val="1918009459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39101272"/>
      </c:catAx>
      <c:valAx>
        <c:axId val="133910127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bb/100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18009459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0000FF"/>
                </a:solidFill>
                <a:latin typeface="+mn-lt"/>
                <a:ea typeface="+mn-lt"/>
                <a:cs typeface="+mn-lt"/>
              </a:rPr>
              <a:t>盈虧比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0000FF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strRef>
              <c:f>'分析'!$B$12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'分析'!$C$12:$I$12</c:f>
              <c:numCache>
                <c:formatCode>General</c:formatCode>
                <c:ptCount val="0"/>
              </c:numCache>
            </c:numRef>
          </c:val>
        </c:ser>
        <c:axId val="758905144"/>
        <c:axId val="1237478171"/>
      </c:barChart>
      <c:catAx>
        <c:axId val="758905144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237478171"/>
      </c:catAx>
      <c:valAx>
        <c:axId val="1237478171"/>
        <c:scaling>
          <c:orientation val="minMax"/>
          <c:min val="0.5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盈虧比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58905144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0000FF"/>
                </a:solidFill>
                <a:latin typeface="+mn-lt"/>
                <a:ea typeface="+mn-lt"/>
                <a:cs typeface="+mn-lt"/>
              </a:rPr>
              <a:t>波動率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0000FF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strRef>
              <c:f>'分析'!$B$8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'分析'!$C$8:$I$8</c:f>
              <c:numCache>
                <c:formatCode>General</c:formatCode>
                <c:ptCount val="0"/>
              </c:numCache>
            </c:numRef>
          </c:val>
        </c:ser>
        <c:axId val="503194107"/>
        <c:axId val="1674341332"/>
      </c:barChart>
      <c:catAx>
        <c:axId val="5031941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674341332"/>
      </c:catAx>
      <c:valAx>
        <c:axId val="1674341332"/>
        <c:scaling>
          <c:orientation val="minMax"/>
          <c:min val="200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百局標準差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503194107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5.xml><?xml version="1.0" encoding="utf-8"?>
<c:chartSpace xmlns:c="http://schemas.openxmlformats.org/drawingml/2006/chart">
  <c:lang val="en-US"/>
  <c:chart>
    <c:plotArea>
      <c:lineChart>
        <c:grouping val="standard"/>
        <c:ser>
          <c:idx val="0"/>
          <c:order val="0"/>
          <c:tx>
            <c:strRef>
              <c:f>'純戰鬥紀錄'!$AH$3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5891AD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'純戰鬥紀錄'!$AH$4:$AH$100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1"/>
          <c:order val="1"/>
          <c:tx>
            <c:strRef>
              <c:f>'純戰鬥紀錄'!$AI$3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00456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'純戰鬥紀錄'!$AI$4:$AI$100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2"/>
          <c:order val="2"/>
          <c:tx>
            <c:strRef>
              <c:f>'純戰鬥紀錄'!$AJ$3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FF6F3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'純戰鬥紀錄'!$AJ$4:$AJ$100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3"/>
          <c:order val="3"/>
          <c:tx>
            <c:strRef>
              <c:f>'純戰鬥紀錄'!$AK$3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1C7685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'純戰鬥紀錄'!$AK$4:$AK$100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4"/>
          <c:order val="4"/>
          <c:tx>
            <c:strRef>
              <c:f>'純戰鬥紀錄'!$AL$3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0F45A8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'純戰鬥紀錄'!$AL$4:$AL$100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5"/>
          <c:order val="5"/>
          <c:tx>
            <c:strRef>
              <c:f>'純戰鬥紀錄'!$AM$3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4CDC8B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'純戰鬥紀錄'!$AM$4:$AM$100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6"/>
          <c:order val="6"/>
          <c:tx>
            <c:strRef>
              <c:f>'純戰鬥紀錄'!$AG$3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8AB2C6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'純戰鬥紀錄'!$AG$4:$AG$100</c:f>
              <c:numCache>
                <c:formatCode>General</c:formatCode>
                <c:ptCount val="0"/>
              </c:numCache>
            </c:numRef>
          </c:val>
          <c:smooth val="1"/>
        </c:ser>
        <c:axId val="1987212497"/>
        <c:axId val="994275407"/>
      </c:lineChart>
      <c:catAx>
        <c:axId val="198721249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994275407"/>
      </c:catAx>
      <c:valAx>
        <c:axId val="994275407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87212497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9</xdr:col>
      <xdr:colOff>619125</xdr:colOff>
      <xdr:row>1</xdr:row>
      <xdr:rowOff>190500</xdr:rowOff>
    </xdr:from>
    <xdr:ext cx="4076700" cy="25146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d68a808246430b"/>
        </a:graphicData>
      </a:graphic>
    </xdr:graphicFrame>
    <xdr:clientData/>
  </xdr:oneCellAnchor>
  <xdr:oneCellAnchor>
    <xdr:from>
      <xdr:col>9</xdr:col>
      <xdr:colOff>619125</xdr:colOff>
      <xdr:row>16</xdr:row>
      <xdr:rowOff>152400</xdr:rowOff>
    </xdr:from>
    <xdr:ext cx="4076700" cy="25146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063f799dec40fc"/>
        </a:graphicData>
      </a:graphic>
    </xdr:graphicFrame>
    <xdr:clientData/>
  </xdr:oneCellAnchor>
  <xdr:oneCellAnchor>
    <xdr:from>
      <xdr:col>14</xdr:col>
      <xdr:colOff>133350</xdr:colOff>
      <xdr:row>1</xdr:row>
      <xdr:rowOff>190500</xdr:rowOff>
    </xdr:from>
    <xdr:ext cx="4076700" cy="25146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c05eeb0ffa444e"/>
        </a:graphicData>
      </a:graphic>
    </xdr:graphicFrame>
    <xdr:clientData/>
  </xdr:oneCellAnchor>
  <xdr:oneCellAnchor>
    <xdr:from>
      <xdr:col>14</xdr:col>
      <xdr:colOff>133350</xdr:colOff>
      <xdr:row>16</xdr:row>
      <xdr:rowOff>152400</xdr:rowOff>
    </xdr:from>
    <xdr:ext cx="4133850" cy="25146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772eb220ed47b2"/>
        </a:graphicData>
      </a:graphic>
    </xdr:graphicFrame>
    <xdr:clientData/>
  </xdr:oneCellAnchor>
  <xdr:oneCellAnchor>
    <xdr:from>
      <xdr:col>1</xdr:col>
      <xdr:colOff>0</xdr:colOff>
      <xdr:row>19</xdr:row>
      <xdr:rowOff>0</xdr:rowOff>
    </xdr:from>
    <xdr:ext cx="7191375" cy="44196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e207b5e9e14af1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SessionsTable" displayName="CleanSessionsTable" ref="A1:I59" headerRowCount="1" totalsRowCount="0" totalsRowShown="0">
  <x:tableColumns count="9">
    <x:tableColumn id="1" name="game_date"/>
    <x:tableColumn id="2" name="session_number"/>
    <x:tableColumn id="3" name="source_sheet"/>
    <x:tableColumn id="4" name="source_row"/>
    <x:tableColumn id="5" name="participant_count"/>
    <x:tableColumn id="6" name="total_pnl"/>
    <x:tableColumn id="7" name="balance_status"/>
    <x:tableColumn id="8" name="note"/>
    <x:tableColumn id="9" name="import_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SessionResultsTable" displayName="CleanSessionResultsTable" ref="A1:H333" headerRowCount="1" totalsRowCount="0" totalsRowShown="0">
  <x:tableColumns count="8">
    <x:tableColumn id="1" name="game_date"/>
    <x:tableColumn id="2" name="session_number"/>
    <x:tableColumn id="3" name="player_name"/>
    <x:tableColumn id="4" name="pnl"/>
    <x:tableColumn id="5" name="participated"/>
    <x:tableColumn id="6" name="source_sheet"/>
    <x:tableColumn id="7" name="source_row"/>
    <x:tableColumn id="8" name="sess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0c3819f7afd4b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2dace1c287d046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e6338ce31de24ae2" /></Relationships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>
        <x:v>6669.0</x:v>
      </x:c>
      <x:c r="L1" s="1" t="s">
        <x:v>9</x:v>
      </x:c>
      <x:c r="M1" s="1" t="s">
        <x:v>10</x:v>
      </x:c>
      <x:c r="N1" s="1" t="s">
        <x:v>11</x:v>
      </x:c>
      <x:c r="O1" s="1"/>
      <x:c r="P1" s="1" t="s">
        <x:v>12</x:v>
      </x:c>
    </x:row>
    <x:row r="2">
      <x:c r="A2" s="1" t="s">
        <x:v>13</x:v>
      </x:c>
      <x:c r="B2" s="1">
        <x:v>777.5</x:v>
      </x:c>
      <x:c r="C2" s="1" t="n">
        <x:f>-222.5-245.5</x:f>
        <x:v>-468</x:v>
      </x:c>
      <x:c r="D2" s="1">
        <x:v>-1030.0</x:v>
      </x:c>
      <x:c r="E2" s="1">
        <x:v>1097.5</x:v>
      </x:c>
      <x:c r="F2" s="1">
        <x:v>-385.0</x:v>
      </x:c>
      <x:c r="G2" s="1">
        <x:v>0.0</x:v>
      </x:c>
      <x:c r="H2" s="1">
        <x:v>0.0</x:v>
      </x:c>
      <x:c r="I2" s="1">
        <x:v>0.0</x:v>
      </x:c>
      <x:c r="J2" s="1"/>
      <x:c r="P2" s="4" t="n">
        <x:f t="shared" ref="P2:P5" si="1">sum(B2:L2)</x:f>
        <x:v>-8</x:v>
      </x:c>
    </x:row>
    <x:row r="3">
      <x:c r="A3" s="7">
        <x:v>46228.0</x:v>
      </x:c>
      <x:c r="B3" s="4" t="n">
        <x:f>B2+'260725'!A12</x:f>
        <x:v>1075</x:v>
      </x:c>
      <x:c r="C3" s="4" t="n">
        <x:f>C2+'260725'!B12</x:f>
        <x:v>-1065.5</x:v>
      </x:c>
      <x:c r="D3" s="4" t="n">
        <x:f>D2+'260725'!C12</x:f>
        <x:v>-724</x:v>
      </x:c>
      <x:c r="E3" s="4" t="n">
        <x:f>E2+'260725'!D12</x:f>
        <x:v>1099.5</x:v>
      </x:c>
      <x:c r="F3" s="4" t="n">
        <x:f t="shared" ref="F3:F7" si="2">F2</x:f>
        <x:v>-385</x:v>
      </x:c>
      <x:c r="G3" s="1">
        <x:v>0.0</x:v>
      </x:c>
      <x:c r="H3" s="1">
        <x:v>0.0</x:v>
      </x:c>
      <x:c r="I3" s="1">
        <x:v>0.0</x:v>
      </x:c>
      <x:c r="J3" s="1"/>
      <x:c r="P3" s="4">
        <x:f t="shared" si="1"/>
        <x:v>0</x:v>
      </x:c>
    </x:row>
    <x:row r="4">
      <x:c r="A4" s="7">
        <x:v>46234.0</x:v>
      </x:c>
      <x:c r="B4" s="4" t="n">
        <x:f>B3+'260731'!A11</x:f>
        <x:v>1285</x:v>
      </x:c>
      <x:c r="C4" s="4" t="n">
        <x:f>C3+'260731'!B11</x:f>
        <x:v>-1375.5</x:v>
      </x:c>
      <x:c r="D4" s="4" t="n">
        <x:f>D3+'260731'!C11</x:f>
        <x:v>-864</x:v>
      </x:c>
      <x:c r="E4" s="4" t="n">
        <x:f>E3+'260731'!D11</x:f>
        <x:v>1132</x:v>
      </x:c>
      <x:c r="F4" s="4">
        <x:f t="shared" si="2"/>
        <x:v>-385</x:v>
      </x:c>
      <x:c r="G4" s="4" t="n">
        <x:f>G3+'260731'!E11</x:f>
        <x:v>17.5</x:v>
      </x:c>
      <x:c r="H4" s="4" t="n">
        <x:f>H3+'260731'!F11</x:f>
        <x:v>190</x:v>
      </x:c>
      <x:c r="I4" s="1">
        <x:v>0.0</x:v>
      </x:c>
      <x:c r="J4" s="1"/>
      <x:c r="P4" s="4">
        <x:f t="shared" si="1"/>
        <x:v>0</x:v>
      </x:c>
    </x:row>
    <x:row r="5">
      <x:c r="A5" s="7">
        <x:v>46249.0</x:v>
      </x:c>
      <x:c r="B5" s="4" t="n">
        <x:f>B4+'260815'!A20</x:f>
        <x:v>1312.5</x:v>
      </x:c>
      <x:c r="C5" s="4" t="n">
        <x:f>C4+'260815'!B20</x:f>
        <x:v>-1068.5</x:v>
      </x:c>
      <x:c r="D5" s="4" t="n">
        <x:f>D4</x:f>
        <x:v>-864</x:v>
      </x:c>
      <x:c r="E5" s="4" t="n">
        <x:f>E4+'260815'!C20</x:f>
        <x:v>1177</x:v>
      </x:c>
      <x:c r="F5" s="4">
        <x:f t="shared" si="2"/>
        <x:v>-385</x:v>
      </x:c>
      <x:c r="G5" s="4" t="n">
        <x:f t="shared" ref="G5:G7" si="3">G4</x:f>
        <x:v>17.5</x:v>
      </x:c>
      <x:c r="H5" s="4" t="n">
        <x:f>H4+'260815'!D20</x:f>
        <x:v>-394.5</x:v>
      </x:c>
      <x:c r="I5" s="4" t="n">
        <x:f>I4+'260815'!F20</x:f>
        <x:v>205</x:v>
      </x:c>
      <x:c r="P5" s="4">
        <x:f t="shared" si="1"/>
        <x:v>0</x:v>
      </x:c>
    </x:row>
    <x:row r="6">
      <x:c r="A6" s="7">
        <x:v>46263.0</x:v>
      </x:c>
      <x:c r="B6" s="4" t="n">
        <x:f>B5+'260829'!A20</x:f>
        <x:v>1432.5</x:v>
      </x:c>
      <x:c r="C6" s="4" t="n">
        <x:f>C5+'260829'!B20</x:f>
        <x:v>-1813.5</x:v>
      </x:c>
      <x:c r="D6" s="4" t="n">
        <x:f>D5+'260829'!D20</x:f>
        <x:v>-814</x:v>
      </x:c>
      <x:c r="E6" s="4" t="n">
        <x:f>E5+'260829'!C20</x:f>
        <x:v>1834.5</x:v>
      </x:c>
      <x:c r="F6" s="4">
        <x:f t="shared" si="2"/>
        <x:v>-385</x:v>
      </x:c>
      <x:c r="G6" s="4">
        <x:f t="shared" si="3"/>
        <x:v>17.5</x:v>
      </x:c>
      <x:c r="H6" s="4" t="n">
        <x:f>H5</x:f>
        <x:v>-394.5</x:v>
      </x:c>
      <x:c r="I6" s="4" t="n">
        <x:f>I5+'260829'!E20</x:f>
        <x:v>-430</x:v>
      </x:c>
      <x:c r="J6" s="4" t="n">
        <x:f>'260829'!F20</x:f>
        <x:v>287.5</x:v>
      </x:c>
      <x:c r="K6" s="4" t="n">
        <x:f>'260829'!G20</x:f>
        <x:v>707.5</x:v>
      </x:c>
      <x:c r="L6" s="4" t="n">
        <x:f>'260829'!I20</x:f>
        <x:v>435</x:v>
      </x:c>
      <x:c r="M6" s="4" t="n">
        <x:f>'260829'!H20</x:f>
        <x:v>-877.5</x:v>
      </x:c>
      <x:c r="P6" s="4" t="n">
        <x:f>SUM(B6:N6)</x:f>
        <x:v>0</x:v>
      </x:c>
    </x:row>
    <x:row r="7">
      <x:c r="A7" s="7">
        <x:v>46277.0</x:v>
      </x:c>
      <x:c r="B7" s="4" t="n">
        <x:f>B6+'260912'!A15</x:f>
        <x:v>1680</x:v>
      </x:c>
      <x:c r="C7" s="4" t="n">
        <x:f>C6+'260912'!B15</x:f>
        <x:v>-1406</x:v>
      </x:c>
      <x:c r="D7" s="4" t="n">
        <x:f>D6</x:f>
        <x:v>-814</x:v>
      </x:c>
      <x:c r="E7" s="4" t="n">
        <x:f>E6+'260912'!C15</x:f>
        <x:v>1479.5</x:v>
      </x:c>
      <x:c r="F7" s="4">
        <x:f t="shared" si="2"/>
        <x:v>-385</x:v>
      </x:c>
      <x:c r="G7" s="4">
        <x:f t="shared" si="3"/>
        <x:v>17.5</x:v>
      </x:c>
      <x:c r="H7" s="4" t="n">
        <x:f>'260912'!F15+H6</x:f>
        <x:v>-244.5</x:v>
      </x:c>
      <x:c r="I7" s="4" t="n">
        <x:f>I6+'260912'!D15</x:f>
        <x:v>-362.5</x:v>
      </x:c>
      <x:c r="J7" s="4" t="n">
        <x:f>J6+'260912'!E15</x:f>
        <x:v>197.5</x:v>
      </x:c>
      <x:c r="K7" s="4" t="n">
        <x:f t="shared" ref="K7:M7" si="4">K6</x:f>
        <x:v>707.5</x:v>
      </x:c>
      <x:c r="L7" s="4">
        <x:f t="shared" si="4"/>
        <x:v>435</x:v>
      </x:c>
      <x:c r="M7" s="4">
        <x:f t="shared" si="4"/>
        <x:v>-877.5</x:v>
      </x:c>
      <x:c r="N7" s="4" t="n">
        <x:f>'260912'!G15</x:f>
        <x:v>-427.5</x:v>
      </x:c>
      <x:c r="P7" s="4" t="n">
        <x:f t="shared" ref="P7:P8" si="6">sum(B7:N7)</x:f>
        <x:v>0</x:v>
      </x:c>
    </x:row>
    <x:row r="8">
      <x:c r="A8" s="7">
        <x:v>46291.0</x:v>
      </x:c>
      <x:c r="B8" s="4" t="n">
        <x:f>B7+'260926'!A15</x:f>
        <x:v>2105</x:v>
      </x:c>
      <x:c r="C8" s="4" t="n">
        <x:f>C7+'260926'!B15</x:f>
        <x:v>-1256</x:v>
      </x:c>
      <x:c r="D8" s="4" t="n">
        <x:f>D7+'260926'!G15</x:f>
        <x:v>-1519.5</x:v>
      </x:c>
      <x:c r="E8" s="4" t="n">
        <x:f>E7+'260926'!C15</x:f>
        <x:v>2294</x:v>
      </x:c>
      <x:c r="F8" s="4" t="n">
        <x:f>F7+'260926'!H15</x:f>
        <x:v>-882.5</x:v>
      </x:c>
      <x:c r="G8" s="4" t="n">
        <x:f>G7+'260926'!F15</x:f>
        <x:v>137</x:v>
      </x:c>
      <x:c r="H8" s="4" t="n">
        <x:f>H7</x:f>
        <x:v>-244.5</x:v>
      </x:c>
      <x:c r="I8" s="4" t="n">
        <x:f>I7+'260926'!D15</x:f>
        <x:v>-647.5</x:v>
      </x:c>
      <x:c r="J8" s="4" t="n">
        <x:f>J7+'260926'!E15</x:f>
        <x:v>176.5</x:v>
      </x:c>
      <x:c r="K8" s="4" t="n">
        <x:f t="shared" ref="K8:N8" si="5">K7</x:f>
        <x:v>707.5</x:v>
      </x:c>
      <x:c r="L8" s="4">
        <x:f t="shared" si="5"/>
        <x:v>435</x:v>
      </x:c>
      <x:c r="M8" s="4">
        <x:f t="shared" si="5"/>
        <x:v>-877.5</x:v>
      </x:c>
      <x:c r="N8" s="4">
        <x:f t="shared" si="5"/>
        <x:v>-427.5</x:v>
      </x:c>
      <x:c r="P8" s="4">
        <x:f t="shared" si="6"/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>
    <x:row r="1">
      <x:c r="A1" s="2"/>
      <x:c r="B1" s="2"/>
      <x:c r="C1" s="2"/>
      <x:c r="D1" s="2"/>
      <x:c r="E1" s="2"/>
      <x:c r="F1" s="2"/>
      <x:c r="G1" s="2"/>
      <x:c r="H1" s="2"/>
      <x:c r="I1" s="3"/>
      <x:c r="J1" s="2"/>
      <x:c r="K1" s="2"/>
      <x:c r="L1" s="2"/>
      <x:c r="M1" s="2"/>
      <x:c r="N1" s="2"/>
      <x:c r="O1" s="2"/>
      <x:c r="P1" s="2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/>
      <x:c r="B2" s="5" t="s">
        <x:v>14</x:v>
      </x:c>
      <x:c r="C2" s="6"/>
      <x:c r="D2" s="6"/>
      <x:c r="E2" s="6"/>
      <x:c r="F2" s="6"/>
      <x:c r="G2" s="6"/>
      <x:c r="H2" s="8"/>
      <x:c r="I2" s="3"/>
      <x:c r="J2" s="5" t="s">
        <x:v>15</x:v>
      </x:c>
      <x:c r="K2" s="6"/>
      <x:c r="L2" s="6"/>
      <x:c r="M2" s="6"/>
      <x:c r="N2" s="6"/>
      <x:c r="O2" s="6"/>
      <x:c r="P2" s="8"/>
      <x:c r="Q2" s="3"/>
      <x:c r="R2" s="5" t="s">
        <x:v>16</x:v>
      </x:c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8"/>
      <x:c r="AF2" s="3"/>
      <x:c r="AG2" s="5" t="s">
        <x:v>17</x:v>
      </x:c>
      <x:c r="AH2" s="6"/>
      <x:c r="AI2" s="6"/>
      <x:c r="AJ2" s="6"/>
      <x:c r="AK2" s="6"/>
      <x:c r="AL2" s="6"/>
      <x:c r="AM2" s="8"/>
      <x:c r="AN2" s="3"/>
      <x:c r="AO2" s="3"/>
      <x:c r="AP2" s="3"/>
      <x:c r="AQ2" s="3"/>
    </x:row>
    <x:row r="3">
      <x:c r="A3" s="2"/>
      <x:c r="B3" s="9" t="s">
        <x:v>0</x:v>
      </x:c>
      <x:c r="C3" s="9" t="s">
        <x:v>1</x:v>
      </x:c>
      <x:c r="D3" s="9" t="s">
        <x:v>2</x:v>
      </x:c>
      <x:c r="E3" s="9" t="s">
        <x:v>3</x:v>
      </x:c>
      <x:c r="F3" s="9" t="s">
        <x:v>6</x:v>
      </x:c>
      <x:c r="G3" s="9" t="s">
        <x:v>7</x:v>
      </x:c>
      <x:c r="H3" s="10" t="s">
        <x:v>8</x:v>
      </x:c>
      <x:c r="I3" s="3"/>
      <x:c r="J3" s="9" t="s">
        <x:v>0</x:v>
      </x:c>
      <x:c r="K3" s="9" t="s">
        <x:v>1</x:v>
      </x:c>
      <x:c r="L3" s="9" t="s">
        <x:v>2</x:v>
      </x:c>
      <x:c r="M3" s="9" t="s">
        <x:v>3</x:v>
      </x:c>
      <x:c r="N3" s="9" t="s">
        <x:v>6</x:v>
      </x:c>
      <x:c r="O3" s="9" t="s">
        <x:v>7</x:v>
      </x:c>
      <x:c r="P3" s="9" t="s">
        <x:v>8</x:v>
      </x:c>
      <x:c r="Q3" s="3"/>
      <x:c r="R3" s="5" t="s">
        <x:v>0</x:v>
      </x:c>
      <x:c r="S3" s="8"/>
      <x:c r="T3" s="5" t="s">
        <x:v>1</x:v>
      </x:c>
      <x:c r="U3" s="8"/>
      <x:c r="V3" s="5" t="s">
        <x:v>2</x:v>
      </x:c>
      <x:c r="W3" s="8"/>
      <x:c r="X3" s="5" t="s">
        <x:v>3</x:v>
      </x:c>
      <x:c r="Y3" s="8"/>
      <x:c r="Z3" s="5" t="s">
        <x:v>6</x:v>
      </x:c>
      <x:c r="AA3" s="8"/>
      <x:c r="AB3" s="5" t="s">
        <x:v>7</x:v>
      </x:c>
      <x:c r="AC3" s="8"/>
      <x:c r="AD3" s="5" t="s">
        <x:v>8</x:v>
      </x:c>
      <x:c r="AE3" s="8"/>
      <x:c r="AF3" s="3"/>
      <x:c r="AG3" s="9" t="s">
        <x:v>0</x:v>
      </x:c>
      <x:c r="AH3" s="9" t="s">
        <x:v>1</x:v>
      </x:c>
      <x:c r="AI3" s="9" t="s">
        <x:v>2</x:v>
      </x:c>
      <x:c r="AJ3" s="9" t="s">
        <x:v>3</x:v>
      </x:c>
      <x:c r="AK3" s="9" t="s">
        <x:v>6</x:v>
      </x:c>
      <x:c r="AL3" s="9" t="s">
        <x:v>7</x:v>
      </x:c>
      <x:c r="AM3" s="9" t="s">
        <x:v>8</x:v>
      </x:c>
      <x:c r="AN3" s="3"/>
      <x:c r="AO3" s="3"/>
      <x:c r="AP3" s="3"/>
      <x:c r="AQ3" s="3"/>
    </x:row>
    <x:row r="4">
      <x:c r="A4" s="1"/>
      <x:c r="B4" s="11">
        <x:v>-45.0</x:v>
      </x:c>
      <x:c r="C4" s="12">
        <x:v>-250.0</x:v>
      </x:c>
      <x:c r="D4" s="12">
        <x:v>158.0</x:v>
      </x:c>
      <x:c r="E4" s="12">
        <x:v>137.0</x:v>
      </x:c>
      <x:c r="F4" s="13"/>
      <x:c r="G4" s="13"/>
      <x:c r="H4" s="14"/>
      <x:c r="J4" s="15" t="n">
        <x:f t="shared" ref="J4:M4" si="1">B4</x:f>
        <x:v>-45</x:v>
      </x:c>
      <x:c r="K4" s="13">
        <x:f t="shared" si="1"/>
        <x:v>-250</x:v>
      </x:c>
      <x:c r="L4" s="13">
        <x:f t="shared" si="1"/>
        <x:v>158</x:v>
      </x:c>
      <x:c r="M4" s="13">
        <x:f t="shared" si="1"/>
        <x:v>137</x:v>
      </x:c>
      <x:c r="N4" s="12">
        <x:v>0.0</x:v>
      </x:c>
      <x:c r="O4" s="12">
        <x:v>0.0</x:v>
      </x:c>
      <x:c r="P4" s="16">
        <x:v>0.0</x:v>
      </x:c>
      <x:c r="R4" s="17" t="s">
        <x:v>18</x:v>
      </x:c>
      <x:c r="S4" s="17" t="s">
        <x:v>19</x:v>
      </x:c>
      <x:c r="T4" s="17" t="s">
        <x:v>18</x:v>
      </x:c>
      <x:c r="U4" s="17" t="s">
        <x:v>19</x:v>
      </x:c>
      <x:c r="V4" s="18" t="s">
        <x:v>18</x:v>
      </x:c>
      <x:c r="W4" s="19" t="s">
        <x:v>19</x:v>
      </x:c>
      <x:c r="X4" s="19" t="s">
        <x:v>18</x:v>
      </x:c>
      <x:c r="Y4" s="19" t="s">
        <x:v>19</x:v>
      </x:c>
      <x:c r="Z4" s="19" t="s">
        <x:v>18</x:v>
      </x:c>
      <x:c r="AA4" s="19" t="s">
        <x:v>19</x:v>
      </x:c>
      <x:c r="AB4" s="19" t="s">
        <x:v>18</x:v>
      </x:c>
      <x:c r="AC4" s="19" t="s">
        <x:v>19</x:v>
      </x:c>
      <x:c r="AD4" s="19" t="s">
        <x:v>18</x:v>
      </x:c>
      <x:c r="AE4" s="19" t="s">
        <x:v>19</x:v>
      </x:c>
      <x:c r="AG4" s="15" t="n">
        <x:f>if('分析'!C$17,J4,na)</x:f>
        <x:v>-45</x:v>
      </x:c>
      <x:c r="AH4" s="13" t="n">
        <x:f>if('分析'!D$17,K4,na)</x:f>
        <x:v>-250</x:v>
      </x:c>
      <x:c r="AI4" s="13" t="n">
        <x:f>if('分析'!E$17,L4,na)</x:f>
        <x:v>158</x:v>
      </x:c>
      <x:c r="AJ4" s="13" t="n">
        <x:f>if('分析'!F$17,M4,na)</x:f>
        <x:v>137</x:v>
      </x:c>
      <x:c r="AK4" s="13" t="n">
        <x:f>if('分析'!G$17,N4,na)</x:f>
        <x:v>0</x:v>
      </x:c>
      <x:c r="AL4" s="13" t="n">
        <x:f>if('分析'!H$17,O4,na)</x:f>
        <x:v>0</x:v>
      </x:c>
      <x:c r="AM4" s="14" t="n">
        <x:f>if('分析'!I$17,P4,na)</x:f>
        <x:v>0</x:v>
      </x:c>
    </x:row>
    <x:row r="5">
      <x:c r="A5" s="1"/>
      <x:c r="B5" s="20">
        <x:v>-10.0</x:v>
      </x:c>
      <x:c r="C5" s="4" t="n">
        <x:f>200</x:f>
        <x:v>200</x:v>
      </x:c>
      <x:c r="D5" s="1">
        <x:v>-28.0</x:v>
      </x:c>
      <x:c r="E5" s="1">
        <x:v>-145.0</x:v>
      </x:c>
      <x:c r="H5" s="21"/>
      <x:c r="J5" s="22" t="n">
        <x:f t="shared" ref="J5:P5" si="2">J4+B5</x:f>
        <x:v>-55</x:v>
      </x:c>
      <x:c r="K5" s="4">
        <x:f t="shared" si="2"/>
        <x:v>-50</x:v>
      </x:c>
      <x:c r="L5" s="4">
        <x:f t="shared" si="2"/>
        <x:v>130</x:v>
      </x:c>
      <x:c r="M5" s="4">
        <x:f t="shared" si="2"/>
        <x:v>-8</x:v>
      </x:c>
      <x:c r="N5" s="4">
        <x:f t="shared" si="2"/>
        <x:v>0</x:v>
      </x:c>
      <x:c r="O5" s="4">
        <x:f t="shared" si="2"/>
        <x:v>0</x:v>
      </x:c>
      <x:c r="P5" s="21">
        <x:f t="shared" si="2"/>
        <x:v>0</x:v>
      </x:c>
      <x:c r="R5" s="15" t="n">
        <x:f>J4</x:f>
        <x:v>-45</x:v>
      </x:c>
      <x:c r="S5" s="14" t="n">
        <x:f t="shared" ref="S5:S60" si="4">J4-R5</x:f>
        <x:v>0</x:v>
      </x:c>
      <x:c r="T5" s="15" t="n">
        <x:f>K4</x:f>
        <x:v>-250</x:v>
      </x:c>
      <x:c r="U5" s="14" t="n">
        <x:f t="shared" ref="U5:U60" si="5">K4-T5</x:f>
        <x:v>0</x:v>
      </x:c>
      <x:c r="V5" s="15" t="n">
        <x:f>L4</x:f>
        <x:v>158</x:v>
      </x:c>
      <x:c r="W5" s="14" t="n">
        <x:f t="shared" ref="W5:W60" si="6">L4-V5</x:f>
        <x:v>0</x:v>
      </x:c>
      <x:c r="X5" s="15" t="n">
        <x:f>M4</x:f>
        <x:v>137</x:v>
      </x:c>
      <x:c r="Y5" s="14" t="n">
        <x:f t="shared" ref="Y5:Y60" si="7">M4-X5</x:f>
        <x:v>0</x:v>
      </x:c>
      <x:c r="Z5" s="15" t="n">
        <x:f>N4</x:f>
        <x:v>0</x:v>
      </x:c>
      <x:c r="AA5" s="14" t="n">
        <x:f t="shared" ref="AA5:AA60" si="8">N4-Z5</x:f>
        <x:v>0</x:v>
      </x:c>
      <x:c r="AB5" s="15" t="n">
        <x:f>O4</x:f>
        <x:v>0</x:v>
      </x:c>
      <x:c r="AC5" s="14" t="n">
        <x:f t="shared" ref="AC5:AC60" si="9">O4-AB5</x:f>
        <x:v>0</x:v>
      </x:c>
      <x:c r="AD5" s="15" t="n">
        <x:f>P4</x:f>
        <x:v>0</x:v>
      </x:c>
      <x:c r="AE5" s="14" t="n">
        <x:f>P4-AD5</x:f>
        <x:v>0</x:v>
      </x:c>
      <x:c r="AG5" s="22" t="n">
        <x:f>if('分析'!C$17,J5,na)</x:f>
        <x:v>-55</x:v>
      </x:c>
      <x:c r="AH5" s="4" t="n">
        <x:f>if('分析'!D$17,K5,na)</x:f>
        <x:v>-50</x:v>
      </x:c>
      <x:c r="AI5" s="4" t="n">
        <x:f>if('分析'!E$17,L5,na)</x:f>
        <x:v>130</x:v>
      </x:c>
      <x:c r="AJ5" s="4" t="n">
        <x:f>if('分析'!F$17,M5,na)</x:f>
        <x:v>-8</x:v>
      </x:c>
      <x:c r="AK5" s="4" t="n">
        <x:f>if('分析'!G$17,N5,na)</x:f>
        <x:v>0</x:v>
      </x:c>
      <x:c r="AL5" s="4" t="n">
        <x:f>if('分析'!H$17,O5,na)</x:f>
        <x:v>0</x:v>
      </x:c>
      <x:c r="AM5" s="21" t="n">
        <x:f>if('分析'!I$17,P5,na)</x:f>
        <x:v>0</x:v>
      </x:c>
    </x:row>
    <x:row r="6">
      <x:c r="A6" s="1"/>
      <x:c r="B6" s="20">
        <x:v>-35.0</x:v>
      </x:c>
      <x:c r="C6" s="1">
        <x:v>-87.5</x:v>
      </x:c>
      <x:c r="D6" s="1">
        <x:v>67.5</x:v>
      </x:c>
      <x:c r="E6" s="1">
        <x:v>142.5</x:v>
      </x:c>
      <x:c r="G6" s="1">
        <x:v>-250.0</x:v>
      </x:c>
      <x:c r="H6" s="23">
        <x:v>162.5</x:v>
      </x:c>
      <x:c r="J6" s="22" t="n">
        <x:f t="shared" ref="J6:P6" si="3">J5+B6</x:f>
        <x:v>-90</x:v>
      </x:c>
      <x:c r="K6" s="4">
        <x:f t="shared" si="3"/>
        <x:v>-137.5</x:v>
      </x:c>
      <x:c r="L6" s="4">
        <x:f t="shared" si="3"/>
        <x:v>197.5</x:v>
      </x:c>
      <x:c r="M6" s="4">
        <x:f t="shared" si="3"/>
        <x:v>134.5</x:v>
      </x:c>
      <x:c r="N6" s="4">
        <x:f t="shared" si="3"/>
        <x:v>0</x:v>
      </x:c>
      <x:c r="O6" s="4">
        <x:f t="shared" si="3"/>
        <x:v>-250</x:v>
      </x:c>
      <x:c r="P6" s="21">
        <x:f t="shared" si="3"/>
        <x:v>162.5</x:v>
      </x:c>
      <x:c r="R6" s="22" t="n">
        <x:f t="shared" ref="R6:R60" si="11">MAX(R5,J5)</x:f>
        <x:v>-45</x:v>
      </x:c>
      <x:c r="S6" s="21">
        <x:f t="shared" si="4"/>
        <x:v>-10</x:v>
      </x:c>
      <x:c r="T6" s="22" t="n">
        <x:f t="shared" ref="T6:T60" si="12">max(T5,K5)</x:f>
        <x:v>-50</x:v>
      </x:c>
      <x:c r="U6" s="21">
        <x:f t="shared" si="5"/>
        <x:v>0</x:v>
      </x:c>
      <x:c r="V6" s="22" t="n">
        <x:f t="shared" ref="V6:V60" si="13">MAX(L5,V5)</x:f>
        <x:v>158</x:v>
      </x:c>
      <x:c r="W6" s="21">
        <x:f t="shared" si="6"/>
        <x:v>-28</x:v>
      </x:c>
      <x:c r="X6" s="22" t="n">
        <x:f t="shared" ref="X6:X60" si="14">MAX(X5,M5)</x:f>
        <x:v>137</x:v>
      </x:c>
      <x:c r="Y6" s="21">
        <x:f t="shared" si="7"/>
        <x:v>-145</x:v>
      </x:c>
      <x:c r="Z6" s="22" t="n">
        <x:f t="shared" ref="Z6:Z60" si="15">MAX(N5,Z5)</x:f>
        <x:v>0</x:v>
      </x:c>
      <x:c r="AA6" s="21">
        <x:f t="shared" si="8"/>
        <x:v>0</x:v>
      </x:c>
      <x:c r="AB6" s="22" t="n">
        <x:f t="shared" ref="AB6:AB60" si="16">MAX(AB5,O5)</x:f>
        <x:v>0</x:v>
      </x:c>
      <x:c r="AC6" s="21">
        <x:f t="shared" si="9"/>
        <x:v>0</x:v>
      </x:c>
      <x:c r="AD6" s="22" t="n">
        <x:f t="shared" ref="AD6:AD60" si="17">MAX(AD5,P5)</x:f>
        <x:v>0</x:v>
      </x:c>
      <x:c r="AE6" s="21" t="n">
        <x:f t="shared" ref="AE6:AE60" si="18">Q5-AD6</x:f>
        <x:v>0</x:v>
      </x:c>
      <x:c r="AG6" s="22" t="n">
        <x:f>if('分析'!C$17,J6,na)</x:f>
        <x:v>-90</x:v>
      </x:c>
      <x:c r="AH6" s="4" t="n">
        <x:f>if('分析'!D$17,K6,na)</x:f>
        <x:v>-137.5</x:v>
      </x:c>
      <x:c r="AI6" s="4" t="n">
        <x:f>if('分析'!E$17,L6,na)</x:f>
        <x:v>197.5</x:v>
      </x:c>
      <x:c r="AJ6" s="4" t="n">
        <x:f>if('分析'!F$17,M6,na)</x:f>
        <x:v>134.5</x:v>
      </x:c>
      <x:c r="AK6" s="4" t="n">
        <x:f>if('分析'!G$17,N6,na)</x:f>
        <x:v>0</x:v>
      </x:c>
      <x:c r="AL6" s="4" t="n">
        <x:f>if('分析'!H$17,O6,na)</x:f>
        <x:v>-250</x:v>
      </x:c>
      <x:c r="AM6" s="21" t="n">
        <x:f>if('分析'!I$17,P6,na)</x:f>
        <x:v>162.5</x:v>
      </x:c>
    </x:row>
    <x:row r="7">
      <x:c r="A7" s="1"/>
      <x:c r="B7" s="20">
        <x:v>-175.0</x:v>
      </x:c>
      <x:c r="C7" s="1">
        <x:v>52.5</x:v>
      </x:c>
      <x:c r="D7" s="1">
        <x:v>112.5</x:v>
      </x:c>
      <x:c r="E7" s="1">
        <x:v>167.5</x:v>
      </x:c>
      <x:c r="G7" s="1">
        <x:v>57.5</x:v>
      </x:c>
      <x:c r="H7" s="23">
        <x:v>-215.0</x:v>
      </x:c>
      <x:c r="J7" s="22" t="n">
        <x:f t="shared" ref="J7:P7" si="10">J6+B7</x:f>
        <x:v>-265</x:v>
      </x:c>
      <x:c r="K7" s="4">
        <x:f t="shared" si="10"/>
        <x:v>-85</x:v>
      </x:c>
      <x:c r="L7" s="4">
        <x:f t="shared" si="10"/>
        <x:v>310</x:v>
      </x:c>
      <x:c r="M7" s="4">
        <x:f t="shared" si="10"/>
        <x:v>302</x:v>
      </x:c>
      <x:c r="N7" s="4">
        <x:f t="shared" si="10"/>
        <x:v>0</x:v>
      </x:c>
      <x:c r="O7" s="4">
        <x:f t="shared" si="10"/>
        <x:v>-192.5</x:v>
      </x:c>
      <x:c r="P7" s="21">
        <x:f t="shared" si="10"/>
        <x:v>-52.5</x:v>
      </x:c>
      <x:c r="R7" s="22">
        <x:f t="shared" si="11"/>
        <x:v>-45</x:v>
      </x:c>
      <x:c r="S7" s="21">
        <x:f t="shared" si="4"/>
        <x:v>-45</x:v>
      </x:c>
      <x:c r="T7" s="22">
        <x:f t="shared" si="12"/>
        <x:v>-50</x:v>
      </x:c>
      <x:c r="U7" s="21">
        <x:f t="shared" si="5"/>
        <x:v>-87.5</x:v>
      </x:c>
      <x:c r="V7" s="22">
        <x:f t="shared" si="13"/>
        <x:v>197.5</x:v>
      </x:c>
      <x:c r="W7" s="21">
        <x:f t="shared" si="6"/>
        <x:v>0</x:v>
      </x:c>
      <x:c r="X7" s="22">
        <x:f t="shared" si="14"/>
        <x:v>137</x:v>
      </x:c>
      <x:c r="Y7" s="21">
        <x:f t="shared" si="7"/>
        <x:v>-2.5</x:v>
      </x:c>
      <x:c r="Z7" s="22">
        <x:f t="shared" si="15"/>
        <x:v>0</x:v>
      </x:c>
      <x:c r="AA7" s="21">
        <x:f t="shared" si="8"/>
        <x:v>0</x:v>
      </x:c>
      <x:c r="AB7" s="22">
        <x:f t="shared" si="16"/>
        <x:v>0</x:v>
      </x:c>
      <x:c r="AC7" s="21">
        <x:f t="shared" si="9"/>
        <x:v>-250</x:v>
      </x:c>
      <x:c r="AD7" s="22">
        <x:f t="shared" si="17"/>
        <x:v>162.5</x:v>
      </x:c>
      <x:c r="AE7" s="21">
        <x:f t="shared" si="18"/>
        <x:v>-162.5</x:v>
      </x:c>
      <x:c r="AG7" s="22" t="n">
        <x:f>if('分析'!C$17,J7,na)</x:f>
        <x:v>-265</x:v>
      </x:c>
      <x:c r="AH7" s="4" t="n">
        <x:f>if('分析'!D$17,K7,na)</x:f>
        <x:v>-85</x:v>
      </x:c>
      <x:c r="AI7" s="4" t="n">
        <x:f>if('分析'!E$17,L7,na)</x:f>
        <x:v>310</x:v>
      </x:c>
      <x:c r="AJ7" s="4" t="n">
        <x:f>if('分析'!F$17,M7,na)</x:f>
        <x:v>302</x:v>
      </x:c>
      <x:c r="AK7" s="4" t="n">
        <x:f>if('分析'!G$17,N7,na)</x:f>
        <x:v>0</x:v>
      </x:c>
      <x:c r="AL7" s="4" t="n">
        <x:f>if('分析'!H$17,O7,na)</x:f>
        <x:v>-192.5</x:v>
      </x:c>
      <x:c r="AM7" s="21" t="n">
        <x:f>if('分析'!I$17,P7,na)</x:f>
        <x:v>-52.5</x:v>
      </x:c>
    </x:row>
    <x:row r="8">
      <x:c r="B8" s="22" t="n">
        <x:f>110</x:f>
        <x:v>110</x:v>
      </x:c>
      <x:c r="C8" s="1">
        <x:v>227.5</x:v>
      </x:c>
      <x:c r="D8" s="1">
        <x:v>0.0</x:v>
      </x:c>
      <x:c r="E8" s="1">
        <x:v>-167.5</x:v>
      </x:c>
      <x:c r="G8" s="1">
        <x:v>-12.5</x:v>
      </x:c>
      <x:c r="H8" s="23">
        <x:v>-157.5</x:v>
      </x:c>
      <x:c r="J8" s="22" t="n">
        <x:f t="shared" ref="J8:P8" si="19">J7+B8</x:f>
        <x:v>-155</x:v>
      </x:c>
      <x:c r="K8" s="4">
        <x:f t="shared" si="19"/>
        <x:v>142.5</x:v>
      </x:c>
      <x:c r="L8" s="4">
        <x:f t="shared" si="19"/>
        <x:v>310</x:v>
      </x:c>
      <x:c r="M8" s="4">
        <x:f t="shared" si="19"/>
        <x:v>134.5</x:v>
      </x:c>
      <x:c r="N8" s="4">
        <x:f t="shared" si="19"/>
        <x:v>0</x:v>
      </x:c>
      <x:c r="O8" s="4">
        <x:f t="shared" si="19"/>
        <x:v>-205</x:v>
      </x:c>
      <x:c r="P8" s="21">
        <x:f t="shared" si="19"/>
        <x:v>-210</x:v>
      </x:c>
      <x:c r="R8" s="22">
        <x:f t="shared" si="11"/>
        <x:v>-45</x:v>
      </x:c>
      <x:c r="S8" s="21">
        <x:f t="shared" si="4"/>
        <x:v>-220</x:v>
      </x:c>
      <x:c r="T8" s="22">
        <x:f t="shared" si="12"/>
        <x:v>-50</x:v>
      </x:c>
      <x:c r="U8" s="21">
        <x:f t="shared" si="5"/>
        <x:v>-35</x:v>
      </x:c>
      <x:c r="V8" s="22">
        <x:f t="shared" si="13"/>
        <x:v>310</x:v>
      </x:c>
      <x:c r="W8" s="21">
        <x:f t="shared" si="6"/>
        <x:v>0</x:v>
      </x:c>
      <x:c r="X8" s="22">
        <x:f t="shared" si="14"/>
        <x:v>302</x:v>
      </x:c>
      <x:c r="Y8" s="21">
        <x:f t="shared" si="7"/>
        <x:v>0</x:v>
      </x:c>
      <x:c r="Z8" s="22">
        <x:f t="shared" si="15"/>
        <x:v>0</x:v>
      </x:c>
      <x:c r="AA8" s="21">
        <x:f t="shared" si="8"/>
        <x:v>0</x:v>
      </x:c>
      <x:c r="AB8" s="22">
        <x:f t="shared" si="16"/>
        <x:v>0</x:v>
      </x:c>
      <x:c r="AC8" s="21">
        <x:f t="shared" si="9"/>
        <x:v>-192.5</x:v>
      </x:c>
      <x:c r="AD8" s="22">
        <x:f t="shared" si="17"/>
        <x:v>162.5</x:v>
      </x:c>
      <x:c r="AE8" s="21">
        <x:f t="shared" si="18"/>
        <x:v>-162.5</x:v>
      </x:c>
      <x:c r="AG8" s="22" t="n">
        <x:f>if('分析'!C$17,J8,na)</x:f>
        <x:v>-155</x:v>
      </x:c>
      <x:c r="AH8" s="4" t="n">
        <x:f>if('分析'!D$17,K8,na)</x:f>
        <x:v>142.5</x:v>
      </x:c>
      <x:c r="AI8" s="4" t="n">
        <x:f>if('分析'!E$17,L8,na)</x:f>
        <x:v>310</x:v>
      </x:c>
      <x:c r="AJ8" s="4" t="n">
        <x:f>if('分析'!F$17,M8,na)</x:f>
        <x:v>134.5</x:v>
      </x:c>
      <x:c r="AK8" s="4" t="n">
        <x:f>if('分析'!G$17,N8,na)</x:f>
        <x:v>0</x:v>
      </x:c>
      <x:c r="AL8" s="4" t="n">
        <x:f>if('分析'!H$17,O8,na)</x:f>
        <x:v>-205</x:v>
      </x:c>
      <x:c r="AM8" s="21" t="n">
        <x:f>if('分析'!I$17,P8,na)</x:f>
        <x:v>-210</x:v>
      </x:c>
    </x:row>
    <x:row r="9">
      <x:c r="A9" s="1"/>
      <x:c r="B9" s="20">
        <x:v>-250.0</x:v>
      </x:c>
      <x:c r="C9" s="1">
        <x:v>-112.5</x:v>
      </x:c>
      <x:c r="D9" s="1">
        <x:v>447.5</x:v>
      </x:c>
      <x:c r="E9" s="1">
        <x:v>-85.0</x:v>
      </x:c>
      <x:c r="H9" s="21"/>
      <x:c r="J9" s="22" t="n">
        <x:f t="shared" ref="J9:P9" si="20">J8+B9</x:f>
        <x:v>-405</x:v>
      </x:c>
      <x:c r="K9" s="4">
        <x:f t="shared" si="20"/>
        <x:v>30</x:v>
      </x:c>
      <x:c r="L9" s="4">
        <x:f t="shared" si="20"/>
        <x:v>757.5</x:v>
      </x:c>
      <x:c r="M9" s="4">
        <x:f t="shared" si="20"/>
        <x:v>49.5</x:v>
      </x:c>
      <x:c r="N9" s="4">
        <x:f t="shared" si="20"/>
        <x:v>0</x:v>
      </x:c>
      <x:c r="O9" s="4">
        <x:f t="shared" si="20"/>
        <x:v>-205</x:v>
      </x:c>
      <x:c r="P9" s="21">
        <x:f t="shared" si="20"/>
        <x:v>-210</x:v>
      </x:c>
      <x:c r="R9" s="22">
        <x:f t="shared" si="11"/>
        <x:v>-45</x:v>
      </x:c>
      <x:c r="S9" s="21">
        <x:f t="shared" si="4"/>
        <x:v>-110</x:v>
      </x:c>
      <x:c r="T9" s="22">
        <x:f t="shared" si="12"/>
        <x:v>142.5</x:v>
      </x:c>
      <x:c r="U9" s="21">
        <x:f t="shared" si="5"/>
        <x:v>0</x:v>
      </x:c>
      <x:c r="V9" s="22">
        <x:f t="shared" si="13"/>
        <x:v>310</x:v>
      </x:c>
      <x:c r="W9" s="21">
        <x:f t="shared" si="6"/>
        <x:v>0</x:v>
      </x:c>
      <x:c r="X9" s="22">
        <x:f t="shared" si="14"/>
        <x:v>302</x:v>
      </x:c>
      <x:c r="Y9" s="21">
        <x:f t="shared" si="7"/>
        <x:v>-167.5</x:v>
      </x:c>
      <x:c r="Z9" s="22">
        <x:f t="shared" si="15"/>
        <x:v>0</x:v>
      </x:c>
      <x:c r="AA9" s="21">
        <x:f t="shared" si="8"/>
        <x:v>0</x:v>
      </x:c>
      <x:c r="AB9" s="22">
        <x:f t="shared" si="16"/>
        <x:v>0</x:v>
      </x:c>
      <x:c r="AC9" s="21">
        <x:f t="shared" si="9"/>
        <x:v>-205</x:v>
      </x:c>
      <x:c r="AD9" s="22">
        <x:f t="shared" si="17"/>
        <x:v>162.5</x:v>
      </x:c>
      <x:c r="AE9" s="21">
        <x:f t="shared" si="18"/>
        <x:v>-162.5</x:v>
      </x:c>
      <x:c r="AG9" s="22" t="n">
        <x:f>if('分析'!C$17,J9,na)</x:f>
        <x:v>-405</x:v>
      </x:c>
      <x:c r="AH9" s="4" t="n">
        <x:f>if('分析'!D$17,K9,na)</x:f>
        <x:v>30</x:v>
      </x:c>
      <x:c r="AI9" s="4" t="n">
        <x:f>if('分析'!E$17,L9,na)</x:f>
        <x:v>757.5</x:v>
      </x:c>
      <x:c r="AJ9" s="4" t="n">
        <x:f>if('分析'!F$17,M9,na)</x:f>
        <x:v>49.5</x:v>
      </x:c>
      <x:c r="AK9" s="4" t="n">
        <x:f>if('分析'!G$17,N9,na)</x:f>
        <x:v>0</x:v>
      </x:c>
      <x:c r="AL9" s="4" t="n">
        <x:f>if('分析'!H$17,O9,na)</x:f>
        <x:v>-205</x:v>
      </x:c>
      <x:c r="AM9" s="21" t="n">
        <x:f>if('分析'!I$17,P9,na)</x:f>
        <x:v>-210</x:v>
      </x:c>
    </x:row>
    <x:row r="10">
      <x:c r="A10" s="1"/>
      <x:c r="B10" s="20">
        <x:v>200.0</x:v>
      </x:c>
      <x:c r="C10" s="1">
        <x:v>-250.0</x:v>
      </x:c>
      <x:c r="D10" s="1">
        <x:v>-222.5</x:v>
      </x:c>
      <x:c r="E10" s="1">
        <x:v>272.5</x:v>
      </x:c>
      <x:c r="H10" s="21"/>
      <x:c r="J10" s="22" t="n">
        <x:f t="shared" ref="J10:P10" si="21">J9+B10</x:f>
        <x:v>-205</x:v>
      </x:c>
      <x:c r="K10" s="4">
        <x:f t="shared" si="21"/>
        <x:v>-220</x:v>
      </x:c>
      <x:c r="L10" s="4">
        <x:f t="shared" si="21"/>
        <x:v>535</x:v>
      </x:c>
      <x:c r="M10" s="4">
        <x:f t="shared" si="21"/>
        <x:v>322</x:v>
      </x:c>
      <x:c r="N10" s="4">
        <x:f t="shared" si="21"/>
        <x:v>0</x:v>
      </x:c>
      <x:c r="O10" s="4">
        <x:f t="shared" si="21"/>
        <x:v>-205</x:v>
      </x:c>
      <x:c r="P10" s="21">
        <x:f t="shared" si="21"/>
        <x:v>-210</x:v>
      </x:c>
      <x:c r="R10" s="22">
        <x:f t="shared" si="11"/>
        <x:v>-45</x:v>
      </x:c>
      <x:c r="S10" s="21">
        <x:f t="shared" si="4"/>
        <x:v>-360</x:v>
      </x:c>
      <x:c r="T10" s="22">
        <x:f t="shared" si="12"/>
        <x:v>142.5</x:v>
      </x:c>
      <x:c r="U10" s="21">
        <x:f t="shared" si="5"/>
        <x:v>-112.5</x:v>
      </x:c>
      <x:c r="V10" s="22">
        <x:f t="shared" si="13"/>
        <x:v>757.5</x:v>
      </x:c>
      <x:c r="W10" s="21">
        <x:f t="shared" si="6"/>
        <x:v>0</x:v>
      </x:c>
      <x:c r="X10" s="22">
        <x:f t="shared" si="14"/>
        <x:v>302</x:v>
      </x:c>
      <x:c r="Y10" s="21">
        <x:f t="shared" si="7"/>
        <x:v>-252.5</x:v>
      </x:c>
      <x:c r="Z10" s="22">
        <x:f t="shared" si="15"/>
        <x:v>0</x:v>
      </x:c>
      <x:c r="AA10" s="21">
        <x:f t="shared" si="8"/>
        <x:v>0</x:v>
      </x:c>
      <x:c r="AB10" s="22">
        <x:f t="shared" si="16"/>
        <x:v>0</x:v>
      </x:c>
      <x:c r="AC10" s="21">
        <x:f t="shared" si="9"/>
        <x:v>-205</x:v>
      </x:c>
      <x:c r="AD10" s="22">
        <x:f t="shared" si="17"/>
        <x:v>162.5</x:v>
      </x:c>
      <x:c r="AE10" s="21">
        <x:f t="shared" si="18"/>
        <x:v>-162.5</x:v>
      </x:c>
      <x:c r="AG10" s="22" t="n">
        <x:f>if('分析'!C$17,J10,na)</x:f>
        <x:v>-205</x:v>
      </x:c>
      <x:c r="AH10" s="4" t="n">
        <x:f>if('分析'!D$17,K10,na)</x:f>
        <x:v>-220</x:v>
      </x:c>
      <x:c r="AI10" s="4" t="n">
        <x:f>if('分析'!E$17,L10,na)</x:f>
        <x:v>535</x:v>
      </x:c>
      <x:c r="AJ10" s="4" t="n">
        <x:f>if('分析'!F$17,M10,na)</x:f>
        <x:v>322</x:v>
      </x:c>
      <x:c r="AK10" s="4" t="n">
        <x:f>if('分析'!G$17,N10,na)</x:f>
        <x:v>0</x:v>
      </x:c>
      <x:c r="AL10" s="4" t="n">
        <x:f>if('分析'!H$17,O10,na)</x:f>
        <x:v>-205</x:v>
      </x:c>
      <x:c r="AM10" s="21" t="n">
        <x:f>if('分析'!I$17,P10,na)</x:f>
        <x:v>-210</x:v>
      </x:c>
    </x:row>
    <x:row r="11">
      <x:c r="A11" s="1"/>
      <x:c r="B11" s="20">
        <x:v>117.5</x:v>
      </x:c>
      <x:c r="C11" s="1">
        <x:v>112.5</x:v>
      </x:c>
      <x:c r="D11" s="1">
        <x:v>-250.0</x:v>
      </x:c>
      <x:c r="E11" s="1">
        <x:v>20.0</x:v>
      </x:c>
      <x:c r="H11" s="21"/>
      <x:c r="J11" s="22" t="n">
        <x:f t="shared" ref="J11:P11" si="22">J10+B11</x:f>
        <x:v>-87.5</x:v>
      </x:c>
      <x:c r="K11" s="4">
        <x:f t="shared" si="22"/>
        <x:v>-107.5</x:v>
      </x:c>
      <x:c r="L11" s="4">
        <x:f t="shared" si="22"/>
        <x:v>285</x:v>
      </x:c>
      <x:c r="M11" s="4">
        <x:f t="shared" si="22"/>
        <x:v>342</x:v>
      </x:c>
      <x:c r="N11" s="4">
        <x:f t="shared" si="22"/>
        <x:v>0</x:v>
      </x:c>
      <x:c r="O11" s="4">
        <x:f t="shared" si="22"/>
        <x:v>-205</x:v>
      </x:c>
      <x:c r="P11" s="21">
        <x:f t="shared" si="22"/>
        <x:v>-210</x:v>
      </x:c>
      <x:c r="R11" s="22">
        <x:f t="shared" si="11"/>
        <x:v>-45</x:v>
      </x:c>
      <x:c r="S11" s="21">
        <x:f t="shared" si="4"/>
        <x:v>-160</x:v>
      </x:c>
      <x:c r="T11" s="22">
        <x:f t="shared" si="12"/>
        <x:v>142.5</x:v>
      </x:c>
      <x:c r="U11" s="21">
        <x:f t="shared" si="5"/>
        <x:v>-362.5</x:v>
      </x:c>
      <x:c r="V11" s="22">
        <x:f t="shared" si="13"/>
        <x:v>757.5</x:v>
      </x:c>
      <x:c r="W11" s="21">
        <x:f t="shared" si="6"/>
        <x:v>-222.5</x:v>
      </x:c>
      <x:c r="X11" s="22">
        <x:f t="shared" si="14"/>
        <x:v>322</x:v>
      </x:c>
      <x:c r="Y11" s="21">
        <x:f t="shared" si="7"/>
        <x:v>0</x:v>
      </x:c>
      <x:c r="Z11" s="22">
        <x:f t="shared" si="15"/>
        <x:v>0</x:v>
      </x:c>
      <x:c r="AA11" s="21">
        <x:f t="shared" si="8"/>
        <x:v>0</x:v>
      </x:c>
      <x:c r="AB11" s="22">
        <x:f t="shared" si="16"/>
        <x:v>0</x:v>
      </x:c>
      <x:c r="AC11" s="21">
        <x:f t="shared" si="9"/>
        <x:v>-205</x:v>
      </x:c>
      <x:c r="AD11" s="22">
        <x:f t="shared" si="17"/>
        <x:v>162.5</x:v>
      </x:c>
      <x:c r="AE11" s="21">
        <x:f t="shared" si="18"/>
        <x:v>-162.5</x:v>
      </x:c>
      <x:c r="AG11" s="22" t="n">
        <x:f>if('分析'!C$17,J11,na)</x:f>
        <x:v>-87.5</x:v>
      </x:c>
      <x:c r="AH11" s="4" t="n">
        <x:f>if('分析'!D$17,K11,na)</x:f>
        <x:v>-107.5</x:v>
      </x:c>
      <x:c r="AI11" s="4" t="n">
        <x:f>if('分析'!E$17,L11,na)</x:f>
        <x:v>285</x:v>
      </x:c>
      <x:c r="AJ11" s="4" t="n">
        <x:f>if('分析'!F$17,M11,na)</x:f>
        <x:v>342</x:v>
      </x:c>
      <x:c r="AK11" s="4" t="n">
        <x:f>if('分析'!G$17,N11,na)</x:f>
        <x:v>0</x:v>
      </x:c>
      <x:c r="AL11" s="4" t="n">
        <x:f>if('分析'!H$17,O11,na)</x:f>
        <x:v>-205</x:v>
      </x:c>
      <x:c r="AM11" s="21" t="n">
        <x:f>if('分析'!I$17,P11,na)</x:f>
        <x:v>-210</x:v>
      </x:c>
    </x:row>
    <x:row r="12">
      <x:c r="A12" s="1"/>
      <x:c r="B12" s="20">
        <x:v>242.5</x:v>
      </x:c>
      <x:c r="C12" s="1">
        <x:v>-2.5</x:v>
      </x:c>
      <x:c r="D12" s="1">
        <x:v>10.0</x:v>
      </x:c>
      <x:c r="E12" s="1">
        <x:v>-250.0</x:v>
      </x:c>
      <x:c r="H12" s="21"/>
      <x:c r="J12" s="22" t="n">
        <x:f t="shared" ref="J12:P12" si="23">J11+B12</x:f>
        <x:v>155</x:v>
      </x:c>
      <x:c r="K12" s="4">
        <x:f t="shared" si="23"/>
        <x:v>-110</x:v>
      </x:c>
      <x:c r="L12" s="4">
        <x:f t="shared" si="23"/>
        <x:v>295</x:v>
      </x:c>
      <x:c r="M12" s="4">
        <x:f t="shared" si="23"/>
        <x:v>92</x:v>
      </x:c>
      <x:c r="N12" s="4">
        <x:f t="shared" si="23"/>
        <x:v>0</x:v>
      </x:c>
      <x:c r="O12" s="4">
        <x:f t="shared" si="23"/>
        <x:v>-205</x:v>
      </x:c>
      <x:c r="P12" s="21">
        <x:f t="shared" si="23"/>
        <x:v>-210</x:v>
      </x:c>
      <x:c r="R12" s="22">
        <x:f t="shared" si="11"/>
        <x:v>-45</x:v>
      </x:c>
      <x:c r="S12" s="21">
        <x:f t="shared" si="4"/>
        <x:v>-42.5</x:v>
      </x:c>
      <x:c r="T12" s="22">
        <x:f t="shared" si="12"/>
        <x:v>142.5</x:v>
      </x:c>
      <x:c r="U12" s="21">
        <x:f t="shared" si="5"/>
        <x:v>-250</x:v>
      </x:c>
      <x:c r="V12" s="22">
        <x:f t="shared" si="13"/>
        <x:v>757.5</x:v>
      </x:c>
      <x:c r="W12" s="21">
        <x:f t="shared" si="6"/>
        <x:v>-472.5</x:v>
      </x:c>
      <x:c r="X12" s="22">
        <x:f t="shared" si="14"/>
        <x:v>342</x:v>
      </x:c>
      <x:c r="Y12" s="21">
        <x:f t="shared" si="7"/>
        <x:v>0</x:v>
      </x:c>
      <x:c r="Z12" s="22">
        <x:f t="shared" si="15"/>
        <x:v>0</x:v>
      </x:c>
      <x:c r="AA12" s="21">
        <x:f t="shared" si="8"/>
        <x:v>0</x:v>
      </x:c>
      <x:c r="AB12" s="22">
        <x:f t="shared" si="16"/>
        <x:v>0</x:v>
      </x:c>
      <x:c r="AC12" s="21">
        <x:f t="shared" si="9"/>
        <x:v>-205</x:v>
      </x:c>
      <x:c r="AD12" s="22">
        <x:f t="shared" si="17"/>
        <x:v>162.5</x:v>
      </x:c>
      <x:c r="AE12" s="21">
        <x:f t="shared" si="18"/>
        <x:v>-162.5</x:v>
      </x:c>
      <x:c r="AG12" s="22" t="n">
        <x:f>if('分析'!C$17,J12,na)</x:f>
        <x:v>155</x:v>
      </x:c>
      <x:c r="AH12" s="4" t="n">
        <x:f>if('分析'!D$17,K12,na)</x:f>
        <x:v>-110</x:v>
      </x:c>
      <x:c r="AI12" s="4" t="n">
        <x:f>if('分析'!E$17,L12,na)</x:f>
        <x:v>295</x:v>
      </x:c>
      <x:c r="AJ12" s="4" t="n">
        <x:f>if('分析'!F$17,M12,na)</x:f>
        <x:v>92</x:v>
      </x:c>
      <x:c r="AK12" s="4" t="n">
        <x:f>if('分析'!G$17,N12,na)</x:f>
        <x:v>0</x:v>
      </x:c>
      <x:c r="AL12" s="4" t="n">
        <x:f>if('分析'!H$17,O12,na)</x:f>
        <x:v>-205</x:v>
      </x:c>
      <x:c r="AM12" s="21" t="n">
        <x:f>if('分析'!I$17,P12,na)</x:f>
        <x:v>-210</x:v>
      </x:c>
    </x:row>
    <x:row r="13">
      <x:c r="A13" s="1"/>
      <x:c r="B13" s="20">
        <x:v>222.5</x:v>
      </x:c>
      <x:c r="C13" s="1">
        <x:v>-12.5</x:v>
      </x:c>
      <x:c r="D13" s="1">
        <x:v>-250.0</x:v>
      </x:c>
      <x:c r="E13" s="1">
        <x:v>152.5</x:v>
      </x:c>
      <x:c r="H13" s="21"/>
      <x:c r="J13" s="22" t="n">
        <x:f t="shared" ref="J13:P13" si="24">J12+B13</x:f>
        <x:v>377.5</x:v>
      </x:c>
      <x:c r="K13" s="4">
        <x:f t="shared" si="24"/>
        <x:v>-122.5</x:v>
      </x:c>
      <x:c r="L13" s="4">
        <x:f t="shared" si="24"/>
        <x:v>45</x:v>
      </x:c>
      <x:c r="M13" s="4">
        <x:f t="shared" si="24"/>
        <x:v>244.5</x:v>
      </x:c>
      <x:c r="N13" s="4">
        <x:f t="shared" si="24"/>
        <x:v>0</x:v>
      </x:c>
      <x:c r="O13" s="4">
        <x:f t="shared" si="24"/>
        <x:v>-205</x:v>
      </x:c>
      <x:c r="P13" s="21">
        <x:f t="shared" si="24"/>
        <x:v>-210</x:v>
      </x:c>
      <x:c r="R13" s="22">
        <x:f t="shared" si="11"/>
        <x:v>155</x:v>
      </x:c>
      <x:c r="S13" s="21">
        <x:f t="shared" si="4"/>
        <x:v>0</x:v>
      </x:c>
      <x:c r="T13" s="22">
        <x:f t="shared" si="12"/>
        <x:v>142.5</x:v>
      </x:c>
      <x:c r="U13" s="21">
        <x:f t="shared" si="5"/>
        <x:v>-252.5</x:v>
      </x:c>
      <x:c r="V13" s="22">
        <x:f t="shared" si="13"/>
        <x:v>757.5</x:v>
      </x:c>
      <x:c r="W13" s="21">
        <x:f t="shared" si="6"/>
        <x:v>-462.5</x:v>
      </x:c>
      <x:c r="X13" s="22">
        <x:f t="shared" si="14"/>
        <x:v>342</x:v>
      </x:c>
      <x:c r="Y13" s="21">
        <x:f t="shared" si="7"/>
        <x:v>-250</x:v>
      </x:c>
      <x:c r="Z13" s="22">
        <x:f t="shared" si="15"/>
        <x:v>0</x:v>
      </x:c>
      <x:c r="AA13" s="21">
        <x:f t="shared" si="8"/>
        <x:v>0</x:v>
      </x:c>
      <x:c r="AB13" s="22">
        <x:f t="shared" si="16"/>
        <x:v>0</x:v>
      </x:c>
      <x:c r="AC13" s="21">
        <x:f t="shared" si="9"/>
        <x:v>-205</x:v>
      </x:c>
      <x:c r="AD13" s="22">
        <x:f t="shared" si="17"/>
        <x:v>162.5</x:v>
      </x:c>
      <x:c r="AE13" s="21">
        <x:f t="shared" si="18"/>
        <x:v>-162.5</x:v>
      </x:c>
      <x:c r="AG13" s="22" t="n">
        <x:f>if('分析'!C$17,J13,na)</x:f>
        <x:v>377.5</x:v>
      </x:c>
      <x:c r="AH13" s="4" t="n">
        <x:f>if('分析'!D$17,K13,na)</x:f>
        <x:v>-122.5</x:v>
      </x:c>
      <x:c r="AI13" s="4" t="n">
        <x:f>if('分析'!E$17,L13,na)</x:f>
        <x:v>45</x:v>
      </x:c>
      <x:c r="AJ13" s="4" t="n">
        <x:f>if('分析'!F$17,M13,na)</x:f>
        <x:v>244.5</x:v>
      </x:c>
      <x:c r="AK13" s="4" t="n">
        <x:f>if('分析'!G$17,N13,na)</x:f>
        <x:v>0</x:v>
      </x:c>
      <x:c r="AL13" s="4" t="n">
        <x:f>if('分析'!H$17,O13,na)</x:f>
        <x:v>-205</x:v>
      </x:c>
      <x:c r="AM13" s="21" t="n">
        <x:f>if('分析'!I$17,P13,na)</x:f>
        <x:v>-210</x:v>
      </x:c>
    </x:row>
    <x:row r="14">
      <x:c r="A14" s="1"/>
      <x:c r="B14" s="20">
        <x:v>107.5</x:v>
      </x:c>
      <x:c r="C14" s="1">
        <x:v>10.0</x:v>
      </x:c>
      <x:c r="D14" s="1">
        <x:v>132.5</x:v>
      </x:c>
      <x:c r="E14" s="1">
        <x:v>-250.0</x:v>
      </x:c>
      <x:c r="F14" s="1">
        <x:v>190.0</x:v>
      </x:c>
      <x:c r="H14" s="21"/>
      <x:c r="J14" s="22" t="n">
        <x:f t="shared" ref="J14:P14" si="25">J13+B14</x:f>
        <x:v>485</x:v>
      </x:c>
      <x:c r="K14" s="4">
        <x:f t="shared" si="25"/>
        <x:v>-112.5</x:v>
      </x:c>
      <x:c r="L14" s="4">
        <x:f t="shared" si="25"/>
        <x:v>177.5</x:v>
      </x:c>
      <x:c r="M14" s="4">
        <x:f t="shared" si="25"/>
        <x:v>-5.5</x:v>
      </x:c>
      <x:c r="N14" s="4">
        <x:f t="shared" si="25"/>
        <x:v>190</x:v>
      </x:c>
      <x:c r="O14" s="4">
        <x:f t="shared" si="25"/>
        <x:v>-205</x:v>
      </x:c>
      <x:c r="P14" s="21">
        <x:f t="shared" si="25"/>
        <x:v>-210</x:v>
      </x:c>
      <x:c r="R14" s="22">
        <x:f t="shared" si="11"/>
        <x:v>377.5</x:v>
      </x:c>
      <x:c r="S14" s="21">
        <x:f t="shared" si="4"/>
        <x:v>0</x:v>
      </x:c>
      <x:c r="T14" s="22">
        <x:f t="shared" si="12"/>
        <x:v>142.5</x:v>
      </x:c>
      <x:c r="U14" s="21">
        <x:f t="shared" si="5"/>
        <x:v>-265</x:v>
      </x:c>
      <x:c r="V14" s="22">
        <x:f t="shared" si="13"/>
        <x:v>757.5</x:v>
      </x:c>
      <x:c r="W14" s="21">
        <x:f t="shared" si="6"/>
        <x:v>-712.5</x:v>
      </x:c>
      <x:c r="X14" s="22">
        <x:f t="shared" si="14"/>
        <x:v>342</x:v>
      </x:c>
      <x:c r="Y14" s="21">
        <x:f t="shared" si="7"/>
        <x:v>-97.5</x:v>
      </x:c>
      <x:c r="Z14" s="22">
        <x:f t="shared" si="15"/>
        <x:v>0</x:v>
      </x:c>
      <x:c r="AA14" s="21">
        <x:f t="shared" si="8"/>
        <x:v>0</x:v>
      </x:c>
      <x:c r="AB14" s="22">
        <x:f t="shared" si="16"/>
        <x:v>0</x:v>
      </x:c>
      <x:c r="AC14" s="21">
        <x:f t="shared" si="9"/>
        <x:v>-205</x:v>
      </x:c>
      <x:c r="AD14" s="22">
        <x:f t="shared" si="17"/>
        <x:v>162.5</x:v>
      </x:c>
      <x:c r="AE14" s="21">
        <x:f t="shared" si="18"/>
        <x:v>-162.5</x:v>
      </x:c>
      <x:c r="AG14" s="22" t="n">
        <x:f>if('分析'!C$17,J14,na)</x:f>
        <x:v>485</x:v>
      </x:c>
      <x:c r="AH14" s="4" t="n">
        <x:f>if('分析'!D$17,K14,na)</x:f>
        <x:v>-112.5</x:v>
      </x:c>
      <x:c r="AI14" s="4" t="n">
        <x:f>if('分析'!E$17,L14,na)</x:f>
        <x:v>177.5</x:v>
      </x:c>
      <x:c r="AJ14" s="4" t="n">
        <x:f>if('分析'!F$17,M14,na)</x:f>
        <x:v>-5.5</x:v>
      </x:c>
      <x:c r="AK14" s="4" t="n">
        <x:f>if('分析'!G$17,N14,na)</x:f>
        <x:v>190</x:v>
      </x:c>
      <x:c r="AL14" s="4" t="n">
        <x:f>if('分析'!H$17,O14,na)</x:f>
        <x:v>-205</x:v>
      </x:c>
      <x:c r="AM14" s="21" t="n">
        <x:f>if('分析'!I$17,P14,na)</x:f>
        <x:v>-210</x:v>
      </x:c>
    </x:row>
    <x:row r="15">
      <x:c r="A15" s="1"/>
      <x:c r="B15" s="20">
        <x:v>-100.0</x:v>
      </x:c>
      <x:c r="C15" s="1">
        <x:v>102.0</x:v>
      </x:c>
      <x:c r="F15" s="1">
        <x:v>-2.0</x:v>
      </x:c>
      <x:c r="G15" s="1"/>
      <x:c r="H15" s="23"/>
      <x:c r="J15" s="22" t="n">
        <x:f t="shared" ref="J15:P15" si="26">J14+B15</x:f>
        <x:v>385</x:v>
      </x:c>
      <x:c r="K15" s="4">
        <x:f t="shared" si="26"/>
        <x:v>-10.5</x:v>
      </x:c>
      <x:c r="L15" s="4">
        <x:f t="shared" si="26"/>
        <x:v>177.5</x:v>
      </x:c>
      <x:c r="M15" s="4">
        <x:f t="shared" si="26"/>
        <x:v>-5.5</x:v>
      </x:c>
      <x:c r="N15" s="4">
        <x:f t="shared" si="26"/>
        <x:v>188</x:v>
      </x:c>
      <x:c r="O15" s="4">
        <x:f t="shared" si="26"/>
        <x:v>-205</x:v>
      </x:c>
      <x:c r="P15" s="21">
        <x:f t="shared" si="26"/>
        <x:v>-210</x:v>
      </x:c>
      <x:c r="R15" s="22">
        <x:f t="shared" si="11"/>
        <x:v>485</x:v>
      </x:c>
      <x:c r="S15" s="21">
        <x:f t="shared" si="4"/>
        <x:v>0</x:v>
      </x:c>
      <x:c r="T15" s="22">
        <x:f t="shared" si="12"/>
        <x:v>142.5</x:v>
      </x:c>
      <x:c r="U15" s="21">
        <x:f t="shared" si="5"/>
        <x:v>-255</x:v>
      </x:c>
      <x:c r="V15" s="22">
        <x:f t="shared" si="13"/>
        <x:v>757.5</x:v>
      </x:c>
      <x:c r="W15" s="21">
        <x:f t="shared" si="6"/>
        <x:v>-580</x:v>
      </x:c>
      <x:c r="X15" s="22">
        <x:f t="shared" si="14"/>
        <x:v>342</x:v>
      </x:c>
      <x:c r="Y15" s="21">
        <x:f t="shared" si="7"/>
        <x:v>-347.5</x:v>
      </x:c>
      <x:c r="Z15" s="22">
        <x:f t="shared" si="15"/>
        <x:v>190</x:v>
      </x:c>
      <x:c r="AA15" s="21">
        <x:f t="shared" si="8"/>
        <x:v>0</x:v>
      </x:c>
      <x:c r="AB15" s="22">
        <x:f t="shared" si="16"/>
        <x:v>0</x:v>
      </x:c>
      <x:c r="AC15" s="21">
        <x:f t="shared" si="9"/>
        <x:v>-205</x:v>
      </x:c>
      <x:c r="AD15" s="22">
        <x:f t="shared" si="17"/>
        <x:v>162.5</x:v>
      </x:c>
      <x:c r="AE15" s="21">
        <x:f t="shared" si="18"/>
        <x:v>-162.5</x:v>
      </x:c>
      <x:c r="AG15" s="22" t="n">
        <x:f>if('分析'!C$17,J15,na)</x:f>
        <x:v>385</x:v>
      </x:c>
      <x:c r="AH15" s="4" t="n">
        <x:f>if('分析'!D$17,K15,na)</x:f>
        <x:v>-10.5</x:v>
      </x:c>
      <x:c r="AI15" s="4" t="n">
        <x:f>if('分析'!E$17,L15,na)</x:f>
        <x:v>177.5</x:v>
      </x:c>
      <x:c r="AJ15" s="4" t="n">
        <x:f>if('分析'!F$17,M15,na)</x:f>
        <x:v>-5.5</x:v>
      </x:c>
      <x:c r="AK15" s="4" t="n">
        <x:f>if('分析'!G$17,N15,na)</x:f>
        <x:v>188</x:v>
      </x:c>
      <x:c r="AL15" s="4" t="n">
        <x:f>if('分析'!H$17,O15,na)</x:f>
        <x:v>-205</x:v>
      </x:c>
      <x:c r="AM15" s="21" t="n">
        <x:f>if('分析'!I$17,P15,na)</x:f>
        <x:v>-210</x:v>
      </x:c>
    </x:row>
    <x:row r="16">
      <x:c r="A16" s="1"/>
      <x:c r="B16" s="20">
        <x:v>-12.0</x:v>
      </x:c>
      <x:c r="C16" s="1">
        <x:v>-38.0</x:v>
      </x:c>
      <x:c r="F16" s="1">
        <x:v>50.0</x:v>
      </x:c>
      <x:c r="G16" s="1"/>
      <x:c r="H16" s="23"/>
      <x:c r="J16" s="22" t="n">
        <x:f t="shared" ref="J16:P16" si="27">J15+B16</x:f>
        <x:v>373</x:v>
      </x:c>
      <x:c r="K16" s="4">
        <x:f t="shared" si="27"/>
        <x:v>-48.5</x:v>
      </x:c>
      <x:c r="L16" s="4">
        <x:f t="shared" si="27"/>
        <x:v>177.5</x:v>
      </x:c>
      <x:c r="M16" s="4">
        <x:f t="shared" si="27"/>
        <x:v>-5.5</x:v>
      </x:c>
      <x:c r="N16" s="4">
        <x:f t="shared" si="27"/>
        <x:v>238</x:v>
      </x:c>
      <x:c r="O16" s="4">
        <x:f t="shared" si="27"/>
        <x:v>-205</x:v>
      </x:c>
      <x:c r="P16" s="21">
        <x:f t="shared" si="27"/>
        <x:v>-210</x:v>
      </x:c>
      <x:c r="R16" s="22">
        <x:f t="shared" si="11"/>
        <x:v>485</x:v>
      </x:c>
      <x:c r="S16" s="21">
        <x:f t="shared" si="4"/>
        <x:v>-100</x:v>
      </x:c>
      <x:c r="T16" s="22">
        <x:f t="shared" si="12"/>
        <x:v>142.5</x:v>
      </x:c>
      <x:c r="U16" s="21">
        <x:f t="shared" si="5"/>
        <x:v>-153</x:v>
      </x:c>
      <x:c r="V16" s="22">
        <x:f t="shared" si="13"/>
        <x:v>757.5</x:v>
      </x:c>
      <x:c r="W16" s="21">
        <x:f t="shared" si="6"/>
        <x:v>-580</x:v>
      </x:c>
      <x:c r="X16" s="22">
        <x:f t="shared" si="14"/>
        <x:v>342</x:v>
      </x:c>
      <x:c r="Y16" s="21">
        <x:f t="shared" si="7"/>
        <x:v>-347.5</x:v>
      </x:c>
      <x:c r="Z16" s="22">
        <x:f t="shared" si="15"/>
        <x:v>190</x:v>
      </x:c>
      <x:c r="AA16" s="21">
        <x:f t="shared" si="8"/>
        <x:v>-2</x:v>
      </x:c>
      <x:c r="AB16" s="22">
        <x:f t="shared" si="16"/>
        <x:v>0</x:v>
      </x:c>
      <x:c r="AC16" s="21">
        <x:f t="shared" si="9"/>
        <x:v>-205</x:v>
      </x:c>
      <x:c r="AD16" s="22">
        <x:f t="shared" si="17"/>
        <x:v>162.5</x:v>
      </x:c>
      <x:c r="AE16" s="21">
        <x:f t="shared" si="18"/>
        <x:v>-162.5</x:v>
      </x:c>
      <x:c r="AG16" s="22" t="n">
        <x:f>if('分析'!C$17,J16,na)</x:f>
        <x:v>373</x:v>
      </x:c>
      <x:c r="AH16" s="4" t="n">
        <x:f>if('分析'!D$17,K16,na)</x:f>
        <x:v>-48.5</x:v>
      </x:c>
      <x:c r="AI16" s="4" t="n">
        <x:f>if('分析'!E$17,L16,na)</x:f>
        <x:v>177.5</x:v>
      </x:c>
      <x:c r="AJ16" s="4" t="n">
        <x:f>if('分析'!F$17,M16,na)</x:f>
        <x:v>-5.5</x:v>
      </x:c>
      <x:c r="AK16" s="4" t="n">
        <x:f>if('分析'!G$17,N16,na)</x:f>
        <x:v>238</x:v>
      </x:c>
      <x:c r="AL16" s="4" t="n">
        <x:f>if('分析'!H$17,O16,na)</x:f>
        <x:v>-205</x:v>
      </x:c>
      <x:c r="AM16" s="21" t="n">
        <x:f>if('分析'!I$17,P16,na)</x:f>
        <x:v>-210</x:v>
      </x:c>
    </x:row>
    <x:row r="17">
      <x:c r="A17" s="1"/>
      <x:c r="B17" s="20">
        <x:v>-42.5</x:v>
      </x:c>
      <x:c r="C17" s="1">
        <x:v>-30.0</x:v>
      </x:c>
      <x:c r="F17" s="1">
        <x:v>-155.0</x:v>
      </x:c>
      <x:c r="G17" s="1">
        <x:v>25.0</x:v>
      </x:c>
      <x:c r="H17" s="23"/>
      <x:c r="J17" s="22" t="n">
        <x:f t="shared" ref="J17:P17" si="28">J16+B17</x:f>
        <x:v>330.5</x:v>
      </x:c>
      <x:c r="K17" s="4">
        <x:f t="shared" si="28"/>
        <x:v>-78.5</x:v>
      </x:c>
      <x:c r="L17" s="4">
        <x:f t="shared" si="28"/>
        <x:v>177.5</x:v>
      </x:c>
      <x:c r="M17" s="4">
        <x:f t="shared" si="28"/>
        <x:v>-5.5</x:v>
      </x:c>
      <x:c r="N17" s="4">
        <x:f t="shared" si="28"/>
        <x:v>83</x:v>
      </x:c>
      <x:c r="O17" s="4">
        <x:f t="shared" si="28"/>
        <x:v>-180</x:v>
      </x:c>
      <x:c r="P17" s="21">
        <x:f t="shared" si="28"/>
        <x:v>-210</x:v>
      </x:c>
      <x:c r="R17" s="22">
        <x:f t="shared" si="11"/>
        <x:v>485</x:v>
      </x:c>
      <x:c r="S17" s="21">
        <x:f t="shared" si="4"/>
        <x:v>-112</x:v>
      </x:c>
      <x:c r="T17" s="22">
        <x:f t="shared" si="12"/>
        <x:v>142.5</x:v>
      </x:c>
      <x:c r="U17" s="21">
        <x:f t="shared" si="5"/>
        <x:v>-191</x:v>
      </x:c>
      <x:c r="V17" s="22">
        <x:f t="shared" si="13"/>
        <x:v>757.5</x:v>
      </x:c>
      <x:c r="W17" s="21">
        <x:f t="shared" si="6"/>
        <x:v>-580</x:v>
      </x:c>
      <x:c r="X17" s="22">
        <x:f t="shared" si="14"/>
        <x:v>342</x:v>
      </x:c>
      <x:c r="Y17" s="21">
        <x:f t="shared" si="7"/>
        <x:v>-347.5</x:v>
      </x:c>
      <x:c r="Z17" s="22">
        <x:f t="shared" si="15"/>
        <x:v>238</x:v>
      </x:c>
      <x:c r="AA17" s="21">
        <x:f t="shared" si="8"/>
        <x:v>0</x:v>
      </x:c>
      <x:c r="AB17" s="22">
        <x:f t="shared" si="16"/>
        <x:v>0</x:v>
      </x:c>
      <x:c r="AC17" s="21">
        <x:f t="shared" si="9"/>
        <x:v>-205</x:v>
      </x:c>
      <x:c r="AD17" s="22">
        <x:f t="shared" si="17"/>
        <x:v>162.5</x:v>
      </x:c>
      <x:c r="AE17" s="21">
        <x:f t="shared" si="18"/>
        <x:v>-162.5</x:v>
      </x:c>
      <x:c r="AG17" s="22" t="n">
        <x:f>if('分析'!C$17,J17,na)</x:f>
        <x:v>330.5</x:v>
      </x:c>
      <x:c r="AH17" s="4" t="n">
        <x:f>if('分析'!D$17,K17,na)</x:f>
        <x:v>-78.5</x:v>
      </x:c>
      <x:c r="AI17" s="4" t="n">
        <x:f>if('分析'!E$17,L17,na)</x:f>
        <x:v>177.5</x:v>
      </x:c>
      <x:c r="AJ17" s="4" t="n">
        <x:f>if('分析'!F$17,M17,na)</x:f>
        <x:v>-5.5</x:v>
      </x:c>
      <x:c r="AK17" s="4" t="n">
        <x:f>if('分析'!G$17,N17,na)</x:f>
        <x:v>83</x:v>
      </x:c>
      <x:c r="AL17" s="4" t="n">
        <x:f>if('分析'!H$17,O17,na)</x:f>
        <x:v>-180</x:v>
      </x:c>
      <x:c r="AM17" s="21" t="n">
        <x:f>if('分析'!I$17,P17,na)</x:f>
        <x:v>-210</x:v>
      </x:c>
    </x:row>
    <x:row r="18">
      <x:c r="A18" s="1"/>
      <x:c r="B18" s="20">
        <x:v>72.5</x:v>
      </x:c>
      <x:c r="C18" s="1">
        <x:v>0.0</x:v>
      </x:c>
      <x:c r="E18" s="1">
        <x:v>10.0</x:v>
      </x:c>
      <x:c r="F18" s="1">
        <x:v>-5.0</x:v>
      </x:c>
      <x:c r="G18" s="1">
        <x:v>-7.5</x:v>
      </x:c>
      <x:c r="H18" s="23"/>
      <x:c r="J18" s="22" t="n">
        <x:f t="shared" ref="J18:P18" si="29">J17+B18</x:f>
        <x:v>403</x:v>
      </x:c>
      <x:c r="K18" s="4">
        <x:f t="shared" si="29"/>
        <x:v>-78.5</x:v>
      </x:c>
      <x:c r="L18" s="4">
        <x:f t="shared" si="29"/>
        <x:v>177.5</x:v>
      </x:c>
      <x:c r="M18" s="4">
        <x:f t="shared" si="29"/>
        <x:v>4.5</x:v>
      </x:c>
      <x:c r="N18" s="4">
        <x:f t="shared" si="29"/>
        <x:v>78</x:v>
      </x:c>
      <x:c r="O18" s="4">
        <x:f t="shared" si="29"/>
        <x:v>-187.5</x:v>
      </x:c>
      <x:c r="P18" s="21">
        <x:f t="shared" si="29"/>
        <x:v>-210</x:v>
      </x:c>
      <x:c r="R18" s="22">
        <x:f t="shared" si="11"/>
        <x:v>485</x:v>
      </x:c>
      <x:c r="S18" s="21">
        <x:f t="shared" si="4"/>
        <x:v>-154.5</x:v>
      </x:c>
      <x:c r="T18" s="22">
        <x:f t="shared" si="12"/>
        <x:v>142.5</x:v>
      </x:c>
      <x:c r="U18" s="21">
        <x:f t="shared" si="5"/>
        <x:v>-221</x:v>
      </x:c>
      <x:c r="V18" s="22">
        <x:f t="shared" si="13"/>
        <x:v>757.5</x:v>
      </x:c>
      <x:c r="W18" s="21">
        <x:f t="shared" si="6"/>
        <x:v>-580</x:v>
      </x:c>
      <x:c r="X18" s="22">
        <x:f t="shared" si="14"/>
        <x:v>342</x:v>
      </x:c>
      <x:c r="Y18" s="21">
        <x:f t="shared" si="7"/>
        <x:v>-347.5</x:v>
      </x:c>
      <x:c r="Z18" s="22">
        <x:f t="shared" si="15"/>
        <x:v>238</x:v>
      </x:c>
      <x:c r="AA18" s="21">
        <x:f t="shared" si="8"/>
        <x:v>-155</x:v>
      </x:c>
      <x:c r="AB18" s="22">
        <x:f t="shared" si="16"/>
        <x:v>0</x:v>
      </x:c>
      <x:c r="AC18" s="21">
        <x:f t="shared" si="9"/>
        <x:v>-180</x:v>
      </x:c>
      <x:c r="AD18" s="22">
        <x:f t="shared" si="17"/>
        <x:v>162.5</x:v>
      </x:c>
      <x:c r="AE18" s="21">
        <x:f t="shared" si="18"/>
        <x:v>-162.5</x:v>
      </x:c>
      <x:c r="AG18" s="22" t="n">
        <x:f>if('分析'!C$17,J18,na)</x:f>
        <x:v>403</x:v>
      </x:c>
      <x:c r="AH18" s="4" t="n">
        <x:f>if('分析'!D$17,K18,na)</x:f>
        <x:v>-78.5</x:v>
      </x:c>
      <x:c r="AI18" s="4" t="n">
        <x:f>if('分析'!E$17,L18,na)</x:f>
        <x:v>177.5</x:v>
      </x:c>
      <x:c r="AJ18" s="4" t="n">
        <x:f>if('分析'!F$17,M18,na)</x:f>
        <x:v>4.5</x:v>
      </x:c>
      <x:c r="AK18" s="4" t="n">
        <x:f>if('分析'!G$17,N18,na)</x:f>
        <x:v>78</x:v>
      </x:c>
      <x:c r="AL18" s="4" t="n">
        <x:f>if('分析'!H$17,O18,na)</x:f>
        <x:v>-187.5</x:v>
      </x:c>
      <x:c r="AM18" s="21" t="n">
        <x:f>if('分析'!I$17,P18,na)</x:f>
        <x:v>-210</x:v>
      </x:c>
    </x:row>
    <x:row r="19">
      <x:c r="A19" s="1"/>
      <x:c r="B19" s="20">
        <x:v>0.0</x:v>
      </x:c>
      <x:c r="C19" s="1">
        <x:v>-250.0</x:v>
      </x:c>
      <x:c r="E19" s="1">
        <x:v>0.0</x:v>
      </x:c>
      <x:c r="F19" s="1">
        <x:v>0.0</x:v>
      </x:c>
      <x:c r="G19" s="1">
        <x:v>0.0</x:v>
      </x:c>
      <x:c r="H19" s="23"/>
      <x:c r="J19" s="22" t="n">
        <x:f t="shared" ref="J19:P19" si="30">J18+B19</x:f>
        <x:v>403</x:v>
      </x:c>
      <x:c r="K19" s="4">
        <x:f t="shared" si="30"/>
        <x:v>-328.5</x:v>
      </x:c>
      <x:c r="L19" s="4">
        <x:f t="shared" si="30"/>
        <x:v>177.5</x:v>
      </x:c>
      <x:c r="M19" s="4">
        <x:f t="shared" si="30"/>
        <x:v>4.5</x:v>
      </x:c>
      <x:c r="N19" s="4">
        <x:f t="shared" si="30"/>
        <x:v>78</x:v>
      </x:c>
      <x:c r="O19" s="4">
        <x:f t="shared" si="30"/>
        <x:v>-187.5</x:v>
      </x:c>
      <x:c r="P19" s="21">
        <x:f t="shared" si="30"/>
        <x:v>-210</x:v>
      </x:c>
      <x:c r="R19" s="22">
        <x:f t="shared" si="11"/>
        <x:v>485</x:v>
      </x:c>
      <x:c r="S19" s="21">
        <x:f t="shared" si="4"/>
        <x:v>-82</x:v>
      </x:c>
      <x:c r="T19" s="22">
        <x:f t="shared" si="12"/>
        <x:v>142.5</x:v>
      </x:c>
      <x:c r="U19" s="21">
        <x:f t="shared" si="5"/>
        <x:v>-221</x:v>
      </x:c>
      <x:c r="V19" s="22">
        <x:f t="shared" si="13"/>
        <x:v>757.5</x:v>
      </x:c>
      <x:c r="W19" s="21">
        <x:f t="shared" si="6"/>
        <x:v>-580</x:v>
      </x:c>
      <x:c r="X19" s="22">
        <x:f t="shared" si="14"/>
        <x:v>342</x:v>
      </x:c>
      <x:c r="Y19" s="21">
        <x:f t="shared" si="7"/>
        <x:v>-337.5</x:v>
      </x:c>
      <x:c r="Z19" s="22">
        <x:f t="shared" si="15"/>
        <x:v>238</x:v>
      </x:c>
      <x:c r="AA19" s="21">
        <x:f t="shared" si="8"/>
        <x:v>-160</x:v>
      </x:c>
      <x:c r="AB19" s="22">
        <x:f t="shared" si="16"/>
        <x:v>0</x:v>
      </x:c>
      <x:c r="AC19" s="21">
        <x:f t="shared" si="9"/>
        <x:v>-187.5</x:v>
      </x:c>
      <x:c r="AD19" s="22">
        <x:f t="shared" si="17"/>
        <x:v>162.5</x:v>
      </x:c>
      <x:c r="AE19" s="21">
        <x:f t="shared" si="18"/>
        <x:v>-162.5</x:v>
      </x:c>
      <x:c r="AG19" s="22" t="n">
        <x:f>if('分析'!C$17,J19,na)</x:f>
        <x:v>403</x:v>
      </x:c>
      <x:c r="AH19" s="4" t="n">
        <x:f>if('分析'!D$17,K19,na)</x:f>
        <x:v>-328.5</x:v>
      </x:c>
      <x:c r="AI19" s="4" t="n">
        <x:f>if('分析'!E$17,L19,na)</x:f>
        <x:v>177.5</x:v>
      </x:c>
      <x:c r="AJ19" s="4" t="n">
        <x:f>if('分析'!F$17,M19,na)</x:f>
        <x:v>4.5</x:v>
      </x:c>
      <x:c r="AK19" s="4" t="n">
        <x:f>if('分析'!G$17,N19,na)</x:f>
        <x:v>78</x:v>
      </x:c>
      <x:c r="AL19" s="4" t="n">
        <x:f>if('分析'!H$17,O19,na)</x:f>
        <x:v>-187.5</x:v>
      </x:c>
      <x:c r="AM19" s="21" t="n">
        <x:f>if('分析'!I$17,P19,na)</x:f>
        <x:v>-210</x:v>
      </x:c>
    </x:row>
    <x:row r="20">
      <x:c r="A20" s="1"/>
      <x:c r="B20" s="20">
        <x:v>62.5</x:v>
      </x:c>
      <x:c r="C20" s="1">
        <x:v>-77.5</x:v>
      </x:c>
      <x:c r="E20" s="1">
        <x:v>100.0</x:v>
      </x:c>
      <x:c r="F20" s="1">
        <x:v>5.0</x:v>
      </x:c>
      <x:c r="G20" s="1">
        <x:v>130.0</x:v>
      </x:c>
      <x:c r="H20" s="23"/>
      <x:c r="J20" s="22" t="n">
        <x:f t="shared" ref="J20:P20" si="31">J19+B20</x:f>
        <x:v>465.5</x:v>
      </x:c>
      <x:c r="K20" s="4">
        <x:f t="shared" si="31"/>
        <x:v>-406</x:v>
      </x:c>
      <x:c r="L20" s="4">
        <x:f t="shared" si="31"/>
        <x:v>177.5</x:v>
      </x:c>
      <x:c r="M20" s="4">
        <x:f t="shared" si="31"/>
        <x:v>104.5</x:v>
      </x:c>
      <x:c r="N20" s="4">
        <x:f t="shared" si="31"/>
        <x:v>83</x:v>
      </x:c>
      <x:c r="O20" s="4">
        <x:f t="shared" si="31"/>
        <x:v>-57.5</x:v>
      </x:c>
      <x:c r="P20" s="21">
        <x:f t="shared" si="31"/>
        <x:v>-210</x:v>
      </x:c>
      <x:c r="R20" s="22">
        <x:f t="shared" si="11"/>
        <x:v>485</x:v>
      </x:c>
      <x:c r="S20" s="21">
        <x:f t="shared" si="4"/>
        <x:v>-82</x:v>
      </x:c>
      <x:c r="T20" s="22">
        <x:f t="shared" si="12"/>
        <x:v>142.5</x:v>
      </x:c>
      <x:c r="U20" s="21">
        <x:f t="shared" si="5"/>
        <x:v>-471</x:v>
      </x:c>
      <x:c r="V20" s="22">
        <x:f t="shared" si="13"/>
        <x:v>757.5</x:v>
      </x:c>
      <x:c r="W20" s="21">
        <x:f t="shared" si="6"/>
        <x:v>-580</x:v>
      </x:c>
      <x:c r="X20" s="22">
        <x:f t="shared" si="14"/>
        <x:v>342</x:v>
      </x:c>
      <x:c r="Y20" s="21">
        <x:f t="shared" si="7"/>
        <x:v>-337.5</x:v>
      </x:c>
      <x:c r="Z20" s="22">
        <x:f t="shared" si="15"/>
        <x:v>238</x:v>
      </x:c>
      <x:c r="AA20" s="21">
        <x:f t="shared" si="8"/>
        <x:v>-160</x:v>
      </x:c>
      <x:c r="AB20" s="22">
        <x:f t="shared" si="16"/>
        <x:v>0</x:v>
      </x:c>
      <x:c r="AC20" s="21">
        <x:f t="shared" si="9"/>
        <x:v>-187.5</x:v>
      </x:c>
      <x:c r="AD20" s="22">
        <x:f t="shared" si="17"/>
        <x:v>162.5</x:v>
      </x:c>
      <x:c r="AE20" s="21">
        <x:f t="shared" si="18"/>
        <x:v>-162.5</x:v>
      </x:c>
      <x:c r="AG20" s="22" t="n">
        <x:f>if('分析'!C$17,J20,na)</x:f>
        <x:v>465.5</x:v>
      </x:c>
      <x:c r="AH20" s="4" t="n">
        <x:f>if('分析'!D$17,K20,na)</x:f>
        <x:v>-406</x:v>
      </x:c>
      <x:c r="AI20" s="4" t="n">
        <x:f>if('分析'!E$17,L20,na)</x:f>
        <x:v>177.5</x:v>
      </x:c>
      <x:c r="AJ20" s="4" t="n">
        <x:f>if('分析'!F$17,M20,na)</x:f>
        <x:v>104.5</x:v>
      </x:c>
      <x:c r="AK20" s="4" t="n">
        <x:f>if('分析'!G$17,N20,na)</x:f>
        <x:v>83</x:v>
      </x:c>
      <x:c r="AL20" s="4" t="n">
        <x:f>if('分析'!H$17,O20,na)</x:f>
        <x:v>-57.5</x:v>
      </x:c>
      <x:c r="AM20" s="21" t="n">
        <x:f>if('分析'!I$17,P20,na)</x:f>
        <x:v>-210</x:v>
      </x:c>
    </x:row>
    <x:row r="21">
      <x:c r="A21" s="1"/>
      <x:c r="B21" s="20">
        <x:v>-140.0</x:v>
      </x:c>
      <x:c r="C21" s="1">
        <x:v>385.0</x:v>
      </x:c>
      <x:c r="E21" s="1">
        <x:v>50.0</x:v>
      </x:c>
      <x:c r="F21" s="1">
        <x:v>0.0</x:v>
      </x:c>
      <x:c r="G21" s="1">
        <x:v>-155.0</x:v>
      </x:c>
      <x:c r="H21" s="23"/>
      <x:c r="J21" s="22" t="n">
        <x:f t="shared" ref="J21:P21" si="32">J20+B21</x:f>
        <x:v>325.5</x:v>
      </x:c>
      <x:c r="K21" s="4">
        <x:f t="shared" si="32"/>
        <x:v>-21</x:v>
      </x:c>
      <x:c r="L21" s="4">
        <x:f t="shared" si="32"/>
        <x:v>177.5</x:v>
      </x:c>
      <x:c r="M21" s="4">
        <x:f t="shared" si="32"/>
        <x:v>154.5</x:v>
      </x:c>
      <x:c r="N21" s="4">
        <x:f t="shared" si="32"/>
        <x:v>83</x:v>
      </x:c>
      <x:c r="O21" s="4">
        <x:f t="shared" si="32"/>
        <x:v>-212.5</x:v>
      </x:c>
      <x:c r="P21" s="21">
        <x:f t="shared" si="32"/>
        <x:v>-210</x:v>
      </x:c>
      <x:c r="R21" s="22">
        <x:f t="shared" si="11"/>
        <x:v>485</x:v>
      </x:c>
      <x:c r="S21" s="21">
        <x:f t="shared" si="4"/>
        <x:v>-19.5</x:v>
      </x:c>
      <x:c r="T21" s="22">
        <x:f t="shared" si="12"/>
        <x:v>142.5</x:v>
      </x:c>
      <x:c r="U21" s="21">
        <x:f t="shared" si="5"/>
        <x:v>-548.5</x:v>
      </x:c>
      <x:c r="V21" s="22">
        <x:f t="shared" si="13"/>
        <x:v>757.5</x:v>
      </x:c>
      <x:c r="W21" s="21">
        <x:f t="shared" si="6"/>
        <x:v>-580</x:v>
      </x:c>
      <x:c r="X21" s="22">
        <x:f t="shared" si="14"/>
        <x:v>342</x:v>
      </x:c>
      <x:c r="Y21" s="21">
        <x:f t="shared" si="7"/>
        <x:v>-237.5</x:v>
      </x:c>
      <x:c r="Z21" s="22">
        <x:f t="shared" si="15"/>
        <x:v>238</x:v>
      </x:c>
      <x:c r="AA21" s="21">
        <x:f t="shared" si="8"/>
        <x:v>-155</x:v>
      </x:c>
      <x:c r="AB21" s="22">
        <x:f t="shared" si="16"/>
        <x:v>0</x:v>
      </x:c>
      <x:c r="AC21" s="21">
        <x:f t="shared" si="9"/>
        <x:v>-57.5</x:v>
      </x:c>
      <x:c r="AD21" s="22">
        <x:f t="shared" si="17"/>
        <x:v>162.5</x:v>
      </x:c>
      <x:c r="AE21" s="21">
        <x:f t="shared" si="18"/>
        <x:v>-162.5</x:v>
      </x:c>
      <x:c r="AG21" s="22" t="n">
        <x:f>if('分析'!C$17,J21,na)</x:f>
        <x:v>325.5</x:v>
      </x:c>
      <x:c r="AH21" s="4" t="n">
        <x:f>if('分析'!D$17,K21,na)</x:f>
        <x:v>-21</x:v>
      </x:c>
      <x:c r="AI21" s="4" t="n">
        <x:f>if('分析'!E$17,L21,na)</x:f>
        <x:v>177.5</x:v>
      </x:c>
      <x:c r="AJ21" s="4" t="n">
        <x:f>if('分析'!F$17,M21,na)</x:f>
        <x:v>154.5</x:v>
      </x:c>
      <x:c r="AK21" s="4" t="n">
        <x:f>if('分析'!G$17,N21,na)</x:f>
        <x:v>83</x:v>
      </x:c>
      <x:c r="AL21" s="4" t="n">
        <x:f>if('分析'!H$17,O21,na)</x:f>
        <x:v>-212.5</x:v>
      </x:c>
      <x:c r="AM21" s="21" t="n">
        <x:f>if('分析'!I$17,P21,na)</x:f>
        <x:v>-210</x:v>
      </x:c>
    </x:row>
    <x:row r="22">
      <x:c r="A22" s="1"/>
      <x:c r="B22" s="20">
        <x:v>-47.5</x:v>
      </x:c>
      <x:c r="C22" s="1">
        <x:v>-67.5</x:v>
      </x:c>
      <x:c r="E22" s="1">
        <x:v>-250.0</x:v>
      </x:c>
      <x:c r="F22" s="1">
        <x:v>-102.5</x:v>
      </x:c>
      <x:c r="G22" s="1">
        <x:v>-10.0</x:v>
      </x:c>
      <x:c r="H22" s="23"/>
      <x:c r="J22" s="22" t="n">
        <x:f t="shared" ref="J22:P22" si="33">J21+B22</x:f>
        <x:v>278</x:v>
      </x:c>
      <x:c r="K22" s="4">
        <x:f t="shared" si="33"/>
        <x:v>-88.5</x:v>
      </x:c>
      <x:c r="L22" s="4">
        <x:f t="shared" si="33"/>
        <x:v>177.5</x:v>
      </x:c>
      <x:c r="M22" s="4">
        <x:f t="shared" si="33"/>
        <x:v>-95.5</x:v>
      </x:c>
      <x:c r="N22" s="4">
        <x:f t="shared" si="33"/>
        <x:v>-19.5</x:v>
      </x:c>
      <x:c r="O22" s="4">
        <x:f t="shared" si="33"/>
        <x:v>-222.5</x:v>
      </x:c>
      <x:c r="P22" s="21">
        <x:f t="shared" si="33"/>
        <x:v>-210</x:v>
      </x:c>
      <x:c r="R22" s="22">
        <x:f t="shared" si="11"/>
        <x:v>485</x:v>
      </x:c>
      <x:c r="S22" s="21">
        <x:f t="shared" si="4"/>
        <x:v>-159.5</x:v>
      </x:c>
      <x:c r="T22" s="22">
        <x:f t="shared" si="12"/>
        <x:v>142.5</x:v>
      </x:c>
      <x:c r="U22" s="21">
        <x:f t="shared" si="5"/>
        <x:v>-163.5</x:v>
      </x:c>
      <x:c r="V22" s="22">
        <x:f t="shared" si="13"/>
        <x:v>757.5</x:v>
      </x:c>
      <x:c r="W22" s="21">
        <x:f t="shared" si="6"/>
        <x:v>-580</x:v>
      </x:c>
      <x:c r="X22" s="22">
        <x:f t="shared" si="14"/>
        <x:v>342</x:v>
      </x:c>
      <x:c r="Y22" s="21">
        <x:f t="shared" si="7"/>
        <x:v>-187.5</x:v>
      </x:c>
      <x:c r="Z22" s="22">
        <x:f t="shared" si="15"/>
        <x:v>238</x:v>
      </x:c>
      <x:c r="AA22" s="21">
        <x:f t="shared" si="8"/>
        <x:v>-155</x:v>
      </x:c>
      <x:c r="AB22" s="22">
        <x:f t="shared" si="16"/>
        <x:v>0</x:v>
      </x:c>
      <x:c r="AC22" s="21">
        <x:f t="shared" si="9"/>
        <x:v>-212.5</x:v>
      </x:c>
      <x:c r="AD22" s="22">
        <x:f t="shared" si="17"/>
        <x:v>162.5</x:v>
      </x:c>
      <x:c r="AE22" s="21">
        <x:f t="shared" si="18"/>
        <x:v>-162.5</x:v>
      </x:c>
      <x:c r="AG22" s="22" t="n">
        <x:f>if('分析'!C$17,J22,na)</x:f>
        <x:v>278</x:v>
      </x:c>
      <x:c r="AH22" s="4" t="n">
        <x:f>if('分析'!D$17,K22,na)</x:f>
        <x:v>-88.5</x:v>
      </x:c>
      <x:c r="AI22" s="4" t="n">
        <x:f>if('分析'!E$17,L22,na)</x:f>
        <x:v>177.5</x:v>
      </x:c>
      <x:c r="AJ22" s="4" t="n">
        <x:f>if('分析'!F$17,M22,na)</x:f>
        <x:v>-95.5</x:v>
      </x:c>
      <x:c r="AK22" s="4" t="n">
        <x:f>if('分析'!G$17,N22,na)</x:f>
        <x:v>-19.5</x:v>
      </x:c>
      <x:c r="AL22" s="4" t="n">
        <x:f>if('分析'!H$17,O22,na)</x:f>
        <x:v>-222.5</x:v>
      </x:c>
      <x:c r="AM22" s="21" t="n">
        <x:f>if('分析'!I$17,P22,na)</x:f>
        <x:v>-210</x:v>
      </x:c>
    </x:row>
    <x:row r="23">
      <x:c r="A23" s="1"/>
      <x:c r="B23" s="20">
        <x:v>-250.0</x:v>
      </x:c>
      <x:c r="C23" s="1">
        <x:v>-37.5</x:v>
      </x:c>
      <x:c r="E23" s="1">
        <x:v>-25.0</x:v>
      </x:c>
      <x:c r="F23" s="1">
        <x:v>-42.5</x:v>
      </x:c>
      <x:c r="G23" s="1">
        <x:v>-85.0</x:v>
      </x:c>
      <x:c r="H23" s="23"/>
      <x:c r="J23" s="22" t="n">
        <x:f t="shared" ref="J23:P23" si="34">J22+B23</x:f>
        <x:v>28</x:v>
      </x:c>
      <x:c r="K23" s="4">
        <x:f t="shared" si="34"/>
        <x:v>-126</x:v>
      </x:c>
      <x:c r="L23" s="4">
        <x:f t="shared" si="34"/>
        <x:v>177.5</x:v>
      </x:c>
      <x:c r="M23" s="4">
        <x:f t="shared" si="34"/>
        <x:v>-120.5</x:v>
      </x:c>
      <x:c r="N23" s="4">
        <x:f t="shared" si="34"/>
        <x:v>-62</x:v>
      </x:c>
      <x:c r="O23" s="4">
        <x:f t="shared" si="34"/>
        <x:v>-307.5</x:v>
      </x:c>
      <x:c r="P23" s="21">
        <x:f t="shared" si="34"/>
        <x:v>-210</x:v>
      </x:c>
      <x:c r="R23" s="22">
        <x:f t="shared" si="11"/>
        <x:v>485</x:v>
      </x:c>
      <x:c r="S23" s="21">
        <x:f t="shared" si="4"/>
        <x:v>-207</x:v>
      </x:c>
      <x:c r="T23" s="22">
        <x:f t="shared" si="12"/>
        <x:v>142.5</x:v>
      </x:c>
      <x:c r="U23" s="21">
        <x:f t="shared" si="5"/>
        <x:v>-231</x:v>
      </x:c>
      <x:c r="V23" s="22">
        <x:f t="shared" si="13"/>
        <x:v>757.5</x:v>
      </x:c>
      <x:c r="W23" s="21">
        <x:f t="shared" si="6"/>
        <x:v>-580</x:v>
      </x:c>
      <x:c r="X23" s="22">
        <x:f t="shared" si="14"/>
        <x:v>342</x:v>
      </x:c>
      <x:c r="Y23" s="21">
        <x:f t="shared" si="7"/>
        <x:v>-437.5</x:v>
      </x:c>
      <x:c r="Z23" s="22">
        <x:f t="shared" si="15"/>
        <x:v>238</x:v>
      </x:c>
      <x:c r="AA23" s="21">
        <x:f t="shared" si="8"/>
        <x:v>-257.5</x:v>
      </x:c>
      <x:c r="AB23" s="22">
        <x:f t="shared" si="16"/>
        <x:v>0</x:v>
      </x:c>
      <x:c r="AC23" s="21">
        <x:f t="shared" si="9"/>
        <x:v>-222.5</x:v>
      </x:c>
      <x:c r="AD23" s="22">
        <x:f t="shared" si="17"/>
        <x:v>162.5</x:v>
      </x:c>
      <x:c r="AE23" s="21">
        <x:f t="shared" si="18"/>
        <x:v>-162.5</x:v>
      </x:c>
      <x:c r="AG23" s="22" t="n">
        <x:f>if('分析'!C$17,J23,na)</x:f>
        <x:v>28</x:v>
      </x:c>
      <x:c r="AH23" s="4" t="n">
        <x:f>if('分析'!D$17,K23,na)</x:f>
        <x:v>-126</x:v>
      </x:c>
      <x:c r="AI23" s="4" t="n">
        <x:f>if('分析'!E$17,L23,na)</x:f>
        <x:v>177.5</x:v>
      </x:c>
      <x:c r="AJ23" s="4" t="n">
        <x:f>if('分析'!F$17,M23,na)</x:f>
        <x:v>-120.5</x:v>
      </x:c>
      <x:c r="AK23" s="4" t="n">
        <x:f>if('分析'!G$17,N23,na)</x:f>
        <x:v>-62</x:v>
      </x:c>
      <x:c r="AL23" s="4" t="n">
        <x:f>if('分析'!H$17,O23,na)</x:f>
        <x:v>-307.5</x:v>
      </x:c>
      <x:c r="AM23" s="21" t="n">
        <x:f>if('分析'!I$17,P23,na)</x:f>
        <x:v>-210</x:v>
      </x:c>
    </x:row>
    <x:row r="24">
      <x:c r="A24" s="1"/>
      <x:c r="B24" s="20">
        <x:v>137.0</x:v>
      </x:c>
      <x:c r="C24" s="1">
        <x:v>-22.5</x:v>
      </x:c>
      <x:c r="E24" s="1">
        <x:v>80.0</x:v>
      </x:c>
      <x:c r="F24" s="1">
        <x:v>-65.0</x:v>
      </x:c>
      <x:c r="G24" s="1">
        <x:v>117.5</x:v>
      </x:c>
      <x:c r="H24" s="23"/>
      <x:c r="J24" s="22" t="n">
        <x:f t="shared" ref="J24:P24" si="35">J23+B24</x:f>
        <x:v>165</x:v>
      </x:c>
      <x:c r="K24" s="4">
        <x:f t="shared" si="35"/>
        <x:v>-148.5</x:v>
      </x:c>
      <x:c r="L24" s="4">
        <x:f t="shared" si="35"/>
        <x:v>177.5</x:v>
      </x:c>
      <x:c r="M24" s="4">
        <x:f t="shared" si="35"/>
        <x:v>-40.5</x:v>
      </x:c>
      <x:c r="N24" s="4">
        <x:f t="shared" si="35"/>
        <x:v>-127</x:v>
      </x:c>
      <x:c r="O24" s="4">
        <x:f t="shared" si="35"/>
        <x:v>-190</x:v>
      </x:c>
      <x:c r="P24" s="21">
        <x:f t="shared" si="35"/>
        <x:v>-210</x:v>
      </x:c>
      <x:c r="R24" s="22">
        <x:f t="shared" si="11"/>
        <x:v>485</x:v>
      </x:c>
      <x:c r="S24" s="21">
        <x:f t="shared" si="4"/>
        <x:v>-457</x:v>
      </x:c>
      <x:c r="T24" s="22">
        <x:f t="shared" si="12"/>
        <x:v>142.5</x:v>
      </x:c>
      <x:c r="U24" s="21">
        <x:f t="shared" si="5"/>
        <x:v>-268.5</x:v>
      </x:c>
      <x:c r="V24" s="22">
        <x:f t="shared" si="13"/>
        <x:v>757.5</x:v>
      </x:c>
      <x:c r="W24" s="21">
        <x:f t="shared" si="6"/>
        <x:v>-580</x:v>
      </x:c>
      <x:c r="X24" s="22">
        <x:f t="shared" si="14"/>
        <x:v>342</x:v>
      </x:c>
      <x:c r="Y24" s="21">
        <x:f t="shared" si="7"/>
        <x:v>-462.5</x:v>
      </x:c>
      <x:c r="Z24" s="22">
        <x:f t="shared" si="15"/>
        <x:v>238</x:v>
      </x:c>
      <x:c r="AA24" s="21">
        <x:f t="shared" si="8"/>
        <x:v>-300</x:v>
      </x:c>
      <x:c r="AB24" s="22">
        <x:f t="shared" si="16"/>
        <x:v>0</x:v>
      </x:c>
      <x:c r="AC24" s="21">
        <x:f t="shared" si="9"/>
        <x:v>-307.5</x:v>
      </x:c>
      <x:c r="AD24" s="22">
        <x:f t="shared" si="17"/>
        <x:v>162.5</x:v>
      </x:c>
      <x:c r="AE24" s="21">
        <x:f t="shared" si="18"/>
        <x:v>-162.5</x:v>
      </x:c>
      <x:c r="AG24" s="22" t="n">
        <x:f>if('分析'!C$17,J24,na)</x:f>
        <x:v>165</x:v>
      </x:c>
      <x:c r="AH24" s="4" t="n">
        <x:f>if('分析'!D$17,K24,na)</x:f>
        <x:v>-148.5</x:v>
      </x:c>
      <x:c r="AI24" s="4" t="n">
        <x:f>if('分析'!E$17,L24,na)</x:f>
        <x:v>177.5</x:v>
      </x:c>
      <x:c r="AJ24" s="4" t="n">
        <x:f>if('分析'!F$17,M24,na)</x:f>
        <x:v>-40.5</x:v>
      </x:c>
      <x:c r="AK24" s="4" t="n">
        <x:f>if('分析'!G$17,N24,na)</x:f>
        <x:v>-127</x:v>
      </x:c>
      <x:c r="AL24" s="4" t="n">
        <x:f>if('分析'!H$17,O24,na)</x:f>
        <x:v>-190</x:v>
      </x:c>
      <x:c r="AM24" s="21" t="n">
        <x:f>if('分析'!I$17,P24,na)</x:f>
        <x:v>-210</x:v>
      </x:c>
    </x:row>
    <x:row r="25">
      <x:c r="A25" s="1"/>
      <x:c r="B25" s="20">
        <x:v>270.0</x:v>
      </x:c>
      <x:c r="C25" s="1">
        <x:v>-70.0</x:v>
      </x:c>
      <x:c r="E25" s="1">
        <x:v>-60.0</x:v>
      </x:c>
      <x:c r="F25" s="1">
        <x:v>-70.0</x:v>
      </x:c>
      <x:c r="G25" s="1">
        <x:v>0.0</x:v>
      </x:c>
      <x:c r="H25" s="23"/>
      <x:c r="J25" s="22" t="n">
        <x:f t="shared" ref="J25:P25" si="36">J24+B25</x:f>
        <x:v>435</x:v>
      </x:c>
      <x:c r="K25" s="4">
        <x:f t="shared" si="36"/>
        <x:v>-218.5</x:v>
      </x:c>
      <x:c r="L25" s="4">
        <x:f t="shared" si="36"/>
        <x:v>177.5</x:v>
      </x:c>
      <x:c r="M25" s="4">
        <x:f t="shared" si="36"/>
        <x:v>-100.5</x:v>
      </x:c>
      <x:c r="N25" s="4">
        <x:f t="shared" si="36"/>
        <x:v>-197</x:v>
      </x:c>
      <x:c r="O25" s="4">
        <x:f t="shared" si="36"/>
        <x:v>-190</x:v>
      </x:c>
      <x:c r="P25" s="21">
        <x:f t="shared" si="36"/>
        <x:v>-210</x:v>
      </x:c>
      <x:c r="R25" s="22">
        <x:f t="shared" si="11"/>
        <x:v>485</x:v>
      </x:c>
      <x:c r="S25" s="21">
        <x:f t="shared" si="4"/>
        <x:v>-320</x:v>
      </x:c>
      <x:c r="T25" s="22">
        <x:f t="shared" si="12"/>
        <x:v>142.5</x:v>
      </x:c>
      <x:c r="U25" s="21">
        <x:f t="shared" si="5"/>
        <x:v>-291</x:v>
      </x:c>
      <x:c r="V25" s="22">
        <x:f t="shared" si="13"/>
        <x:v>757.5</x:v>
      </x:c>
      <x:c r="W25" s="21">
        <x:f t="shared" si="6"/>
        <x:v>-580</x:v>
      </x:c>
      <x:c r="X25" s="22">
        <x:f t="shared" si="14"/>
        <x:v>342</x:v>
      </x:c>
      <x:c r="Y25" s="21">
        <x:f t="shared" si="7"/>
        <x:v>-382.5</x:v>
      </x:c>
      <x:c r="Z25" s="22">
        <x:f t="shared" si="15"/>
        <x:v>238</x:v>
      </x:c>
      <x:c r="AA25" s="21">
        <x:f t="shared" si="8"/>
        <x:v>-365</x:v>
      </x:c>
      <x:c r="AB25" s="22">
        <x:f t="shared" si="16"/>
        <x:v>0</x:v>
      </x:c>
      <x:c r="AC25" s="21">
        <x:f t="shared" si="9"/>
        <x:v>-190</x:v>
      </x:c>
      <x:c r="AD25" s="22">
        <x:f t="shared" si="17"/>
        <x:v>162.5</x:v>
      </x:c>
      <x:c r="AE25" s="21">
        <x:f t="shared" si="18"/>
        <x:v>-162.5</x:v>
      </x:c>
      <x:c r="AG25" s="22" t="n">
        <x:f>if('分析'!C$17,J25,na)</x:f>
        <x:v>435</x:v>
      </x:c>
      <x:c r="AH25" s="4" t="n">
        <x:f>if('分析'!D$17,K25,na)</x:f>
        <x:v>-218.5</x:v>
      </x:c>
      <x:c r="AI25" s="4" t="n">
        <x:f>if('分析'!E$17,L25,na)</x:f>
        <x:v>177.5</x:v>
      </x:c>
      <x:c r="AJ25" s="4" t="n">
        <x:f>if('分析'!F$17,M25,na)</x:f>
        <x:v>-100.5</x:v>
      </x:c>
      <x:c r="AK25" s="4" t="n">
        <x:f>if('分析'!G$17,N25,na)</x:f>
        <x:v>-197</x:v>
      </x:c>
      <x:c r="AL25" s="4" t="n">
        <x:f>if('分析'!H$17,O25,na)</x:f>
        <x:v>-190</x:v>
      </x:c>
      <x:c r="AM25" s="21" t="n">
        <x:f>if('分析'!I$17,P25,na)</x:f>
        <x:v>-210</x:v>
      </x:c>
    </x:row>
    <x:row r="26">
      <x:c r="A26" s="1"/>
      <x:c r="B26" s="20">
        <x:v>50.0</x:v>
      </x:c>
      <x:c r="C26" s="1">
        <x:v>160.0</x:v>
      </x:c>
      <x:c r="E26" s="1">
        <x:v>-35.0</x:v>
      </x:c>
      <x:c r="F26" s="1">
        <x:v>72.5</x:v>
      </x:c>
      <x:c r="G26" s="1">
        <x:v>125.0</x:v>
      </x:c>
      <x:c r="H26" s="23"/>
      <x:c r="J26" s="22" t="n">
        <x:f t="shared" ref="J26:P26" si="37">J25+B26</x:f>
        <x:v>485</x:v>
      </x:c>
      <x:c r="K26" s="4">
        <x:f t="shared" si="37"/>
        <x:v>-58.5</x:v>
      </x:c>
      <x:c r="L26" s="4">
        <x:f t="shared" si="37"/>
        <x:v>177.5</x:v>
      </x:c>
      <x:c r="M26" s="4">
        <x:f t="shared" si="37"/>
        <x:v>-135.5</x:v>
      </x:c>
      <x:c r="N26" s="4">
        <x:f t="shared" si="37"/>
        <x:v>-124.5</x:v>
      </x:c>
      <x:c r="O26" s="4">
        <x:f t="shared" si="37"/>
        <x:v>-65</x:v>
      </x:c>
      <x:c r="P26" s="21">
        <x:f t="shared" si="37"/>
        <x:v>-210</x:v>
      </x:c>
      <x:c r="R26" s="22">
        <x:f t="shared" si="11"/>
        <x:v>485</x:v>
      </x:c>
      <x:c r="S26" s="21">
        <x:f t="shared" si="4"/>
        <x:v>-50</x:v>
      </x:c>
      <x:c r="T26" s="22">
        <x:f t="shared" si="12"/>
        <x:v>142.5</x:v>
      </x:c>
      <x:c r="U26" s="21">
        <x:f t="shared" si="5"/>
        <x:v>-361</x:v>
      </x:c>
      <x:c r="V26" s="22">
        <x:f t="shared" si="13"/>
        <x:v>757.5</x:v>
      </x:c>
      <x:c r="W26" s="21">
        <x:f t="shared" si="6"/>
        <x:v>-580</x:v>
      </x:c>
      <x:c r="X26" s="22">
        <x:f t="shared" si="14"/>
        <x:v>342</x:v>
      </x:c>
      <x:c r="Y26" s="21">
        <x:f t="shared" si="7"/>
        <x:v>-442.5</x:v>
      </x:c>
      <x:c r="Z26" s="22">
        <x:f t="shared" si="15"/>
        <x:v>238</x:v>
      </x:c>
      <x:c r="AA26" s="21">
        <x:f t="shared" si="8"/>
        <x:v>-435</x:v>
      </x:c>
      <x:c r="AB26" s="22">
        <x:f t="shared" si="16"/>
        <x:v>0</x:v>
      </x:c>
      <x:c r="AC26" s="21">
        <x:f t="shared" si="9"/>
        <x:v>-190</x:v>
      </x:c>
      <x:c r="AD26" s="22">
        <x:f t="shared" si="17"/>
        <x:v>162.5</x:v>
      </x:c>
      <x:c r="AE26" s="21">
        <x:f t="shared" si="18"/>
        <x:v>-162.5</x:v>
      </x:c>
      <x:c r="AG26" s="22" t="n">
        <x:f>if('分析'!C$17,J26,na)</x:f>
        <x:v>485</x:v>
      </x:c>
      <x:c r="AH26" s="4" t="n">
        <x:f>if('分析'!D$17,K26,na)</x:f>
        <x:v>-58.5</x:v>
      </x:c>
      <x:c r="AI26" s="4" t="n">
        <x:f>if('分析'!E$17,L26,na)</x:f>
        <x:v>177.5</x:v>
      </x:c>
      <x:c r="AJ26" s="4" t="n">
        <x:f>if('分析'!F$17,M26,na)</x:f>
        <x:v>-135.5</x:v>
      </x:c>
      <x:c r="AK26" s="4" t="n">
        <x:f>if('分析'!G$17,N26,na)</x:f>
        <x:v>-124.5</x:v>
      </x:c>
      <x:c r="AL26" s="4" t="n">
        <x:f>if('分析'!H$17,O26,na)</x:f>
        <x:v>-65</x:v>
      </x:c>
      <x:c r="AM26" s="21" t="n">
        <x:f>if('分析'!I$17,P26,na)</x:f>
        <x:v>-210</x:v>
      </x:c>
    </x:row>
    <x:row r="27">
      <x:c r="A27" s="1"/>
      <x:c r="B27" s="20">
        <x:v>27.5</x:v>
      </x:c>
      <x:c r="C27" s="1">
        <x:v>75.0</x:v>
      </x:c>
      <x:c r="E27" s="1">
        <x:v>125.0</x:v>
      </x:c>
      <x:c r="F27" s="1">
        <x:v>-20.0</x:v>
      </x:c>
      <x:c r="G27" s="1">
        <x:v>25.0</x:v>
      </x:c>
      <x:c r="H27" s="23"/>
      <x:c r="J27" s="22" t="n">
        <x:f t="shared" ref="J27:P27" si="38">J26+B27</x:f>
        <x:v>512.5</x:v>
      </x:c>
      <x:c r="K27" s="4">
        <x:f t="shared" si="38"/>
        <x:v>16.5</x:v>
      </x:c>
      <x:c r="L27" s="4">
        <x:f t="shared" si="38"/>
        <x:v>177.5</x:v>
      </x:c>
      <x:c r="M27" s="4">
        <x:f t="shared" si="38"/>
        <x:v>-10.5</x:v>
      </x:c>
      <x:c r="N27" s="4">
        <x:f t="shared" si="38"/>
        <x:v>-144.5</x:v>
      </x:c>
      <x:c r="O27" s="4">
        <x:f t="shared" si="38"/>
        <x:v>-40</x:v>
      </x:c>
      <x:c r="P27" s="21">
        <x:f t="shared" si="38"/>
        <x:v>-210</x:v>
      </x:c>
      <x:c r="R27" s="22">
        <x:f t="shared" si="11"/>
        <x:v>485</x:v>
      </x:c>
      <x:c r="S27" s="21">
        <x:f t="shared" si="4"/>
        <x:v>0</x:v>
      </x:c>
      <x:c r="T27" s="22">
        <x:f t="shared" si="12"/>
        <x:v>142.5</x:v>
      </x:c>
      <x:c r="U27" s="21">
        <x:f t="shared" si="5"/>
        <x:v>-201</x:v>
      </x:c>
      <x:c r="V27" s="22">
        <x:f t="shared" si="13"/>
        <x:v>757.5</x:v>
      </x:c>
      <x:c r="W27" s="21">
        <x:f t="shared" si="6"/>
        <x:v>-580</x:v>
      </x:c>
      <x:c r="X27" s="22">
        <x:f t="shared" si="14"/>
        <x:v>342</x:v>
      </x:c>
      <x:c r="Y27" s="21">
        <x:f t="shared" si="7"/>
        <x:v>-477.5</x:v>
      </x:c>
      <x:c r="Z27" s="22">
        <x:f t="shared" si="15"/>
        <x:v>238</x:v>
      </x:c>
      <x:c r="AA27" s="21">
        <x:f t="shared" si="8"/>
        <x:v>-362.5</x:v>
      </x:c>
      <x:c r="AB27" s="22">
        <x:f t="shared" si="16"/>
        <x:v>0</x:v>
      </x:c>
      <x:c r="AC27" s="21">
        <x:f t="shared" si="9"/>
        <x:v>-65</x:v>
      </x:c>
      <x:c r="AD27" s="22">
        <x:f t="shared" si="17"/>
        <x:v>162.5</x:v>
      </x:c>
      <x:c r="AE27" s="21">
        <x:f t="shared" si="18"/>
        <x:v>-162.5</x:v>
      </x:c>
      <x:c r="AG27" s="22" t="n">
        <x:f>if('分析'!C$17,J27,na)</x:f>
        <x:v>512.5</x:v>
      </x:c>
      <x:c r="AH27" s="4" t="n">
        <x:f>if('分析'!D$17,K27,na)</x:f>
        <x:v>16.5</x:v>
      </x:c>
      <x:c r="AI27" s="4" t="n">
        <x:f>if('分析'!E$17,L27,na)</x:f>
        <x:v>177.5</x:v>
      </x:c>
      <x:c r="AJ27" s="4" t="n">
        <x:f>if('分析'!F$17,M27,na)</x:f>
        <x:v>-10.5</x:v>
      </x:c>
      <x:c r="AK27" s="4" t="n">
        <x:f>if('分析'!G$17,N27,na)</x:f>
        <x:v>-144.5</x:v>
      </x:c>
      <x:c r="AL27" s="4" t="n">
        <x:f>if('分析'!H$17,O27,na)</x:f>
        <x:v>-40</x:v>
      </x:c>
      <x:c r="AM27" s="21" t="n">
        <x:f>if('分析'!I$17,P27,na)</x:f>
        <x:v>-210</x:v>
      </x:c>
    </x:row>
    <x:row r="28">
      <x:c r="A28" s="1"/>
      <x:c r="B28" s="20">
        <x:v>0.0</x:v>
      </x:c>
      <x:c r="C28" s="4" t="n">
        <x:f>177.5</x:f>
        <x:v>177.5</x:v>
      </x:c>
      <x:c r="E28" s="1">
        <x:v>50.0</x:v>
      </x:c>
      <x:c r="F28" s="1">
        <x:v>-250.0</x:v>
      </x:c>
      <x:c r="G28" s="1">
        <x:v>12.5</x:v>
      </x:c>
      <x:c r="H28" s="23"/>
      <x:c r="J28" s="22" t="n">
        <x:f t="shared" ref="J28:P28" si="39">J27+B28</x:f>
        <x:v>512.5</x:v>
      </x:c>
      <x:c r="K28" s="4">
        <x:f t="shared" si="39"/>
        <x:v>194</x:v>
      </x:c>
      <x:c r="L28" s="4">
        <x:f t="shared" si="39"/>
        <x:v>177.5</x:v>
      </x:c>
      <x:c r="M28" s="4">
        <x:f t="shared" si="39"/>
        <x:v>39.5</x:v>
      </x:c>
      <x:c r="N28" s="4">
        <x:f t="shared" si="39"/>
        <x:v>-394.5</x:v>
      </x:c>
      <x:c r="O28" s="4">
        <x:f t="shared" si="39"/>
        <x:v>-27.5</x:v>
      </x:c>
      <x:c r="P28" s="21">
        <x:f t="shared" si="39"/>
        <x:v>-210</x:v>
      </x:c>
      <x:c r="R28" s="22">
        <x:f t="shared" si="11"/>
        <x:v>512.5</x:v>
      </x:c>
      <x:c r="S28" s="21">
        <x:f t="shared" si="4"/>
        <x:v>0</x:v>
      </x:c>
      <x:c r="T28" s="22">
        <x:f t="shared" si="12"/>
        <x:v>142.5</x:v>
      </x:c>
      <x:c r="U28" s="21">
        <x:f t="shared" si="5"/>
        <x:v>-126</x:v>
      </x:c>
      <x:c r="V28" s="22">
        <x:f t="shared" si="13"/>
        <x:v>757.5</x:v>
      </x:c>
      <x:c r="W28" s="21">
        <x:f t="shared" si="6"/>
        <x:v>-580</x:v>
      </x:c>
      <x:c r="X28" s="22">
        <x:f t="shared" si="14"/>
        <x:v>342</x:v>
      </x:c>
      <x:c r="Y28" s="21">
        <x:f t="shared" si="7"/>
        <x:v>-352.5</x:v>
      </x:c>
      <x:c r="Z28" s="22">
        <x:f t="shared" si="15"/>
        <x:v>238</x:v>
      </x:c>
      <x:c r="AA28" s="21">
        <x:f t="shared" si="8"/>
        <x:v>-382.5</x:v>
      </x:c>
      <x:c r="AB28" s="22">
        <x:f t="shared" si="16"/>
        <x:v>0</x:v>
      </x:c>
      <x:c r="AC28" s="21">
        <x:f t="shared" si="9"/>
        <x:v>-40</x:v>
      </x:c>
      <x:c r="AD28" s="22">
        <x:f t="shared" si="17"/>
        <x:v>162.5</x:v>
      </x:c>
      <x:c r="AE28" s="21">
        <x:f t="shared" si="18"/>
        <x:v>-162.5</x:v>
      </x:c>
      <x:c r="AG28" s="22" t="n">
        <x:f>if('分析'!C$17,J28,na)</x:f>
        <x:v>512.5</x:v>
      </x:c>
      <x:c r="AH28" s="4" t="n">
        <x:f>if('分析'!D$17,K28,na)</x:f>
        <x:v>194</x:v>
      </x:c>
      <x:c r="AI28" s="4" t="n">
        <x:f>if('分析'!E$17,L28,na)</x:f>
        <x:v>177.5</x:v>
      </x:c>
      <x:c r="AJ28" s="4" t="n">
        <x:f>if('分析'!F$17,M28,na)</x:f>
        <x:v>39.5</x:v>
      </x:c>
      <x:c r="AK28" s="4" t="n">
        <x:f>if('分析'!G$17,N28,na)</x:f>
        <x:v>-394.5</x:v>
      </x:c>
      <x:c r="AL28" s="4" t="n">
        <x:f>if('分析'!H$17,O28,na)</x:f>
        <x:v>-27.5</x:v>
      </x:c>
      <x:c r="AM28" s="21" t="n">
        <x:f>if('分析'!I$17,P28,na)</x:f>
        <x:v>-210</x:v>
      </x:c>
    </x:row>
    <x:row r="29">
      <x:c r="B29" s="20">
        <x:v>212.5</x:v>
      </x:c>
      <x:c r="C29" s="1">
        <x:v>25.0</x:v>
      </x:c>
      <x:c r="D29" s="1">
        <x:v>-250.0</x:v>
      </x:c>
      <x:c r="E29" s="1">
        <x:v>12.5</x:v>
      </x:c>
      <x:c r="H29" s="21"/>
      <x:c r="J29" s="22" t="n">
        <x:f t="shared" ref="J29:P29" si="40">J28+B29</x:f>
        <x:v>725</x:v>
      </x:c>
      <x:c r="K29" s="4">
        <x:f t="shared" si="40"/>
        <x:v>219</x:v>
      </x:c>
      <x:c r="L29" s="4">
        <x:f t="shared" si="40"/>
        <x:v>-72.5</x:v>
      </x:c>
      <x:c r="M29" s="4">
        <x:f t="shared" si="40"/>
        <x:v>52</x:v>
      </x:c>
      <x:c r="N29" s="4">
        <x:f t="shared" si="40"/>
        <x:v>-394.5</x:v>
      </x:c>
      <x:c r="O29" s="4">
        <x:f t="shared" si="40"/>
        <x:v>-27.5</x:v>
      </x:c>
      <x:c r="P29" s="21">
        <x:f t="shared" si="40"/>
        <x:v>-210</x:v>
      </x:c>
      <x:c r="R29" s="22">
        <x:f t="shared" si="11"/>
        <x:v>512.5</x:v>
      </x:c>
      <x:c r="S29" s="21">
        <x:f t="shared" si="4"/>
        <x:v>0</x:v>
      </x:c>
      <x:c r="T29" s="22">
        <x:f t="shared" si="12"/>
        <x:v>194</x:v>
      </x:c>
      <x:c r="U29" s="21">
        <x:f t="shared" si="5"/>
        <x:v>0</x:v>
      </x:c>
      <x:c r="V29" s="22">
        <x:f t="shared" si="13"/>
        <x:v>757.5</x:v>
      </x:c>
      <x:c r="W29" s="21">
        <x:f t="shared" si="6"/>
        <x:v>-580</x:v>
      </x:c>
      <x:c r="X29" s="22">
        <x:f t="shared" si="14"/>
        <x:v>342</x:v>
      </x:c>
      <x:c r="Y29" s="21">
        <x:f t="shared" si="7"/>
        <x:v>-302.5</x:v>
      </x:c>
      <x:c r="Z29" s="22">
        <x:f t="shared" si="15"/>
        <x:v>238</x:v>
      </x:c>
      <x:c r="AA29" s="21">
        <x:f t="shared" si="8"/>
        <x:v>-632.5</x:v>
      </x:c>
      <x:c r="AB29" s="22">
        <x:f t="shared" si="16"/>
        <x:v>0</x:v>
      </x:c>
      <x:c r="AC29" s="21">
        <x:f t="shared" si="9"/>
        <x:v>-27.5</x:v>
      </x:c>
      <x:c r="AD29" s="22">
        <x:f t="shared" si="17"/>
        <x:v>162.5</x:v>
      </x:c>
      <x:c r="AE29" s="21">
        <x:f t="shared" si="18"/>
        <x:v>-162.5</x:v>
      </x:c>
      <x:c r="AG29" s="22" t="n">
        <x:f>if('分析'!C$17,J29,na)</x:f>
        <x:v>725</x:v>
      </x:c>
      <x:c r="AH29" s="4" t="n">
        <x:f>if('分析'!D$17,K29,na)</x:f>
        <x:v>219</x:v>
      </x:c>
      <x:c r="AI29" s="4" t="n">
        <x:f>if('分析'!E$17,L29,na)</x:f>
        <x:v>-72.5</x:v>
      </x:c>
      <x:c r="AJ29" s="4" t="n">
        <x:f>if('分析'!F$17,M29,na)</x:f>
        <x:v>52</x:v>
      </x:c>
      <x:c r="AK29" s="4" t="n">
        <x:f>if('分析'!G$17,N29,na)</x:f>
        <x:v>-394.5</x:v>
      </x:c>
      <x:c r="AL29" s="4" t="n">
        <x:f>if('分析'!H$17,O29,na)</x:f>
        <x:v>-27.5</x:v>
      </x:c>
      <x:c r="AM29" s="21" t="n">
        <x:f>if('分析'!I$17,P29,na)</x:f>
        <x:v>-210</x:v>
      </x:c>
    </x:row>
    <x:row r="30">
      <x:c r="B30" s="20">
        <x:v>-5.0</x:v>
      </x:c>
      <x:c r="C30" s="1">
        <x:v>-250.0</x:v>
      </x:c>
      <x:c r="D30" s="1">
        <x:v>97.5</x:v>
      </x:c>
      <x:c r="E30" s="1">
        <x:v>92.5</x:v>
      </x:c>
      <x:c r="G30" s="1">
        <x:v>-77.5</x:v>
      </x:c>
      <x:c r="H30" s="23">
        <x:v>142.5</x:v>
      </x:c>
      <x:c r="J30" s="22" t="n">
        <x:f t="shared" ref="J30:P30" si="41">J29+B30</x:f>
        <x:v>720</x:v>
      </x:c>
      <x:c r="K30" s="4">
        <x:f t="shared" si="41"/>
        <x:v>-31</x:v>
      </x:c>
      <x:c r="L30" s="4">
        <x:f t="shared" si="41"/>
        <x:v>25</x:v>
      </x:c>
      <x:c r="M30" s="4">
        <x:f t="shared" si="41"/>
        <x:v>144.5</x:v>
      </x:c>
      <x:c r="N30" s="4">
        <x:f t="shared" si="41"/>
        <x:v>-394.5</x:v>
      </x:c>
      <x:c r="O30" s="4">
        <x:f t="shared" si="41"/>
        <x:v>-105</x:v>
      </x:c>
      <x:c r="P30" s="21">
        <x:f t="shared" si="41"/>
        <x:v>-67.5</x:v>
      </x:c>
      <x:c r="R30" s="22">
        <x:f t="shared" si="11"/>
        <x:v>725</x:v>
      </x:c>
      <x:c r="S30" s="21">
        <x:f t="shared" si="4"/>
        <x:v>0</x:v>
      </x:c>
      <x:c r="T30" s="22">
        <x:f t="shared" si="12"/>
        <x:v>219</x:v>
      </x:c>
      <x:c r="U30" s="21">
        <x:f t="shared" si="5"/>
        <x:v>0</x:v>
      </x:c>
      <x:c r="V30" s="22">
        <x:f t="shared" si="13"/>
        <x:v>757.5</x:v>
      </x:c>
      <x:c r="W30" s="21">
        <x:f t="shared" si="6"/>
        <x:v>-830</x:v>
      </x:c>
      <x:c r="X30" s="22">
        <x:f t="shared" si="14"/>
        <x:v>342</x:v>
      </x:c>
      <x:c r="Y30" s="21">
        <x:f t="shared" si="7"/>
        <x:v>-290</x:v>
      </x:c>
      <x:c r="Z30" s="22">
        <x:f t="shared" si="15"/>
        <x:v>238</x:v>
      </x:c>
      <x:c r="AA30" s="21">
        <x:f t="shared" si="8"/>
        <x:v>-632.5</x:v>
      </x:c>
      <x:c r="AB30" s="22">
        <x:f t="shared" si="16"/>
        <x:v>0</x:v>
      </x:c>
      <x:c r="AC30" s="21">
        <x:f t="shared" si="9"/>
        <x:v>-27.5</x:v>
      </x:c>
      <x:c r="AD30" s="22">
        <x:f t="shared" si="17"/>
        <x:v>162.5</x:v>
      </x:c>
      <x:c r="AE30" s="21">
        <x:f t="shared" si="18"/>
        <x:v>-162.5</x:v>
      </x:c>
      <x:c r="AG30" s="22" t="n">
        <x:f>if('分析'!C$17,J30,na)</x:f>
        <x:v>720</x:v>
      </x:c>
      <x:c r="AH30" s="4" t="n">
        <x:f>if('分析'!D$17,K30,na)</x:f>
        <x:v>-31</x:v>
      </x:c>
      <x:c r="AI30" s="4" t="n">
        <x:f>if('分析'!E$17,L30,na)</x:f>
        <x:v>25</x:v>
      </x:c>
      <x:c r="AJ30" s="4" t="n">
        <x:f>if('分析'!F$17,M30,na)</x:f>
        <x:v>144.5</x:v>
      </x:c>
      <x:c r="AK30" s="4" t="n">
        <x:f>if('分析'!G$17,N30,na)</x:f>
        <x:v>-394.5</x:v>
      </x:c>
      <x:c r="AL30" s="4" t="n">
        <x:f>if('分析'!H$17,O30,na)</x:f>
        <x:v>-105</x:v>
      </x:c>
      <x:c r="AM30" s="21" t="n">
        <x:f>if('分析'!I$17,P30,na)</x:f>
        <x:v>-67.5</x:v>
      </x:c>
    </x:row>
    <x:row r="31">
      <x:c r="B31" s="20">
        <x:v>52.5</x:v>
      </x:c>
      <x:c r="C31" s="1">
        <x:v>-97.5</x:v>
      </x:c>
      <x:c r="D31" s="1">
        <x:v>152.5</x:v>
      </x:c>
      <x:c r="E31" s="1">
        <x:v>95.0</x:v>
      </x:c>
      <x:c r="G31" s="1">
        <x:v>47.5</x:v>
      </x:c>
      <x:c r="H31" s="23">
        <x:v>-250.0</x:v>
      </x:c>
      <x:c r="J31" s="22" t="n">
        <x:f t="shared" ref="J31:P31" si="42">J30+B31</x:f>
        <x:v>772.5</x:v>
      </x:c>
      <x:c r="K31" s="4">
        <x:f t="shared" si="42"/>
        <x:v>-128.5</x:v>
      </x:c>
      <x:c r="L31" s="4">
        <x:f t="shared" si="42"/>
        <x:v>177.5</x:v>
      </x:c>
      <x:c r="M31" s="4">
        <x:f t="shared" si="42"/>
        <x:v>239.5</x:v>
      </x:c>
      <x:c r="N31" s="4">
        <x:f t="shared" si="42"/>
        <x:v>-394.5</x:v>
      </x:c>
      <x:c r="O31" s="4">
        <x:f t="shared" si="42"/>
        <x:v>-57.5</x:v>
      </x:c>
      <x:c r="P31" s="21">
        <x:f t="shared" si="42"/>
        <x:v>-317.5</x:v>
      </x:c>
      <x:c r="R31" s="22">
        <x:f t="shared" si="11"/>
        <x:v>725</x:v>
      </x:c>
      <x:c r="S31" s="21">
        <x:f t="shared" si="4"/>
        <x:v>-5</x:v>
      </x:c>
      <x:c r="T31" s="22">
        <x:f t="shared" si="12"/>
        <x:v>219</x:v>
      </x:c>
      <x:c r="U31" s="21">
        <x:f t="shared" si="5"/>
        <x:v>-250</x:v>
      </x:c>
      <x:c r="V31" s="22">
        <x:f t="shared" si="13"/>
        <x:v>757.5</x:v>
      </x:c>
      <x:c r="W31" s="21">
        <x:f t="shared" si="6"/>
        <x:v>-732.5</x:v>
      </x:c>
      <x:c r="X31" s="22">
        <x:f t="shared" si="14"/>
        <x:v>342</x:v>
      </x:c>
      <x:c r="Y31" s="21">
        <x:f t="shared" si="7"/>
        <x:v>-197.5</x:v>
      </x:c>
      <x:c r="Z31" s="22">
        <x:f t="shared" si="15"/>
        <x:v>238</x:v>
      </x:c>
      <x:c r="AA31" s="21">
        <x:f t="shared" si="8"/>
        <x:v>-632.5</x:v>
      </x:c>
      <x:c r="AB31" s="22">
        <x:f t="shared" si="16"/>
        <x:v>0</x:v>
      </x:c>
      <x:c r="AC31" s="21">
        <x:f t="shared" si="9"/>
        <x:v>-105</x:v>
      </x:c>
      <x:c r="AD31" s="22">
        <x:f t="shared" si="17"/>
        <x:v>162.5</x:v>
      </x:c>
      <x:c r="AE31" s="21">
        <x:f t="shared" si="18"/>
        <x:v>-162.5</x:v>
      </x:c>
      <x:c r="AG31" s="22" t="n">
        <x:f>if('分析'!C$17,J31,na)</x:f>
        <x:v>772.5</x:v>
      </x:c>
      <x:c r="AH31" s="4" t="n">
        <x:f>if('分析'!D$17,K31,na)</x:f>
        <x:v>-128.5</x:v>
      </x:c>
      <x:c r="AI31" s="4" t="n">
        <x:f>if('分析'!E$17,L31,na)</x:f>
        <x:v>177.5</x:v>
      </x:c>
      <x:c r="AJ31" s="4" t="n">
        <x:f>if('分析'!F$17,M31,na)</x:f>
        <x:v>239.5</x:v>
      </x:c>
      <x:c r="AK31" s="4" t="n">
        <x:f>if('分析'!G$17,N31,na)</x:f>
        <x:v>-394.5</x:v>
      </x:c>
      <x:c r="AL31" s="4" t="n">
        <x:f>if('分析'!H$17,O31,na)</x:f>
        <x:v>-57.5</x:v>
      </x:c>
      <x:c r="AM31" s="21" t="n">
        <x:f>if('分析'!I$17,P31,na)</x:f>
        <x:v>-317.5</x:v>
      </x:c>
    </x:row>
    <x:row r="32">
      <x:c r="B32" s="20">
        <x:v>-162.5</x:v>
      </x:c>
      <x:c r="C32" s="1">
        <x:v>-250.0</x:v>
      </x:c>
      <x:c r="D32" s="1">
        <x:v>0.0</x:v>
      </x:c>
      <x:c r="E32" s="1">
        <x:v>457.5</x:v>
      </x:c>
      <x:c r="G32" s="1">
        <x:v>-67.5</x:v>
      </x:c>
      <x:c r="H32" s="23">
        <x:v>22.5</x:v>
      </x:c>
      <x:c r="J32" s="22" t="n">
        <x:f t="shared" ref="J32:P32" si="43">J31+B32</x:f>
        <x:v>610</x:v>
      </x:c>
      <x:c r="K32" s="4">
        <x:f t="shared" si="43"/>
        <x:v>-378.5</x:v>
      </x:c>
      <x:c r="L32" s="4">
        <x:f t="shared" si="43"/>
        <x:v>177.5</x:v>
      </x:c>
      <x:c r="M32" s="4">
        <x:f t="shared" si="43"/>
        <x:v>697</x:v>
      </x:c>
      <x:c r="N32" s="4">
        <x:f t="shared" si="43"/>
        <x:v>-394.5</x:v>
      </x:c>
      <x:c r="O32" s="4">
        <x:f t="shared" si="43"/>
        <x:v>-125</x:v>
      </x:c>
      <x:c r="P32" s="21">
        <x:f t="shared" si="43"/>
        <x:v>-295</x:v>
      </x:c>
      <x:c r="R32" s="22">
        <x:f t="shared" si="11"/>
        <x:v>772.5</x:v>
      </x:c>
      <x:c r="S32" s="21">
        <x:f t="shared" si="4"/>
        <x:v>0</x:v>
      </x:c>
      <x:c r="T32" s="22">
        <x:f t="shared" si="12"/>
        <x:v>219</x:v>
      </x:c>
      <x:c r="U32" s="21">
        <x:f t="shared" si="5"/>
        <x:v>-347.5</x:v>
      </x:c>
      <x:c r="V32" s="22">
        <x:f t="shared" si="13"/>
        <x:v>757.5</x:v>
      </x:c>
      <x:c r="W32" s="21">
        <x:f t="shared" si="6"/>
        <x:v>-580</x:v>
      </x:c>
      <x:c r="X32" s="22">
        <x:f t="shared" si="14"/>
        <x:v>342</x:v>
      </x:c>
      <x:c r="Y32" s="21">
        <x:f t="shared" si="7"/>
        <x:v>-102.5</x:v>
      </x:c>
      <x:c r="Z32" s="22">
        <x:f t="shared" si="15"/>
        <x:v>238</x:v>
      </x:c>
      <x:c r="AA32" s="21">
        <x:f t="shared" si="8"/>
        <x:v>-632.5</x:v>
      </x:c>
      <x:c r="AB32" s="22">
        <x:f t="shared" si="16"/>
        <x:v>0</x:v>
      </x:c>
      <x:c r="AC32" s="21">
        <x:f t="shared" si="9"/>
        <x:v>-57.5</x:v>
      </x:c>
      <x:c r="AD32" s="22">
        <x:f t="shared" si="17"/>
        <x:v>162.5</x:v>
      </x:c>
      <x:c r="AE32" s="21">
        <x:f t="shared" si="18"/>
        <x:v>-162.5</x:v>
      </x:c>
      <x:c r="AG32" s="22" t="n">
        <x:f>if('分析'!C$17,J32,na)</x:f>
        <x:v>610</x:v>
      </x:c>
      <x:c r="AH32" s="4" t="n">
        <x:f>if('分析'!D$17,K32,na)</x:f>
        <x:v>-378.5</x:v>
      </x:c>
      <x:c r="AI32" s="4" t="n">
        <x:f>if('分析'!E$17,L32,na)</x:f>
        <x:v>177.5</x:v>
      </x:c>
      <x:c r="AJ32" s="4" t="n">
        <x:f>if('分析'!F$17,M32,na)</x:f>
        <x:v>697</x:v>
      </x:c>
      <x:c r="AK32" s="4" t="n">
        <x:f>if('分析'!G$17,N32,na)</x:f>
        <x:v>-394.5</x:v>
      </x:c>
      <x:c r="AL32" s="4" t="n">
        <x:f>if('分析'!H$17,O32,na)</x:f>
        <x:v>-125</x:v>
      </x:c>
      <x:c r="AM32" s="21" t="n">
        <x:f>if('分析'!I$17,P32,na)</x:f>
        <x:v>-295</x:v>
      </x:c>
    </x:row>
    <x:row r="33">
      <x:c r="B33" s="20">
        <x:v>10.0</x:v>
      </x:c>
      <x:c r="C33" s="1">
        <x:v>42.5</x:v>
      </x:c>
      <x:c r="G33" s="1">
        <x:v>-40.0</x:v>
      </x:c>
      <x:c r="H33" s="23">
        <x:v>-120.0</x:v>
      </x:c>
      <x:c r="J33" s="22" t="n">
        <x:f t="shared" ref="J33:P33" si="44">J32+B33</x:f>
        <x:v>620</x:v>
      </x:c>
      <x:c r="K33" s="4">
        <x:f t="shared" si="44"/>
        <x:v>-336</x:v>
      </x:c>
      <x:c r="L33" s="4">
        <x:f t="shared" si="44"/>
        <x:v>177.5</x:v>
      </x:c>
      <x:c r="M33" s="4">
        <x:f t="shared" si="44"/>
        <x:v>697</x:v>
      </x:c>
      <x:c r="N33" s="4">
        <x:f t="shared" si="44"/>
        <x:v>-394.5</x:v>
      </x:c>
      <x:c r="O33" s="4">
        <x:f t="shared" si="44"/>
        <x:v>-165</x:v>
      </x:c>
      <x:c r="P33" s="21">
        <x:f t="shared" si="44"/>
        <x:v>-415</x:v>
      </x:c>
      <x:c r="R33" s="22">
        <x:f t="shared" si="11"/>
        <x:v>772.5</x:v>
      </x:c>
      <x:c r="S33" s="21">
        <x:f t="shared" si="4"/>
        <x:v>-162.5</x:v>
      </x:c>
      <x:c r="T33" s="22">
        <x:f t="shared" si="12"/>
        <x:v>219</x:v>
      </x:c>
      <x:c r="U33" s="21">
        <x:f t="shared" si="5"/>
        <x:v>-597.5</x:v>
      </x:c>
      <x:c r="V33" s="22">
        <x:f t="shared" si="13"/>
        <x:v>757.5</x:v>
      </x:c>
      <x:c r="W33" s="21">
        <x:f t="shared" si="6"/>
        <x:v>-580</x:v>
      </x:c>
      <x:c r="X33" s="22">
        <x:f t="shared" si="14"/>
        <x:v>697</x:v>
      </x:c>
      <x:c r="Y33" s="21">
        <x:f t="shared" si="7"/>
        <x:v>0</x:v>
      </x:c>
      <x:c r="Z33" s="22">
        <x:f t="shared" si="15"/>
        <x:v>238</x:v>
      </x:c>
      <x:c r="AA33" s="21">
        <x:f t="shared" si="8"/>
        <x:v>-632.5</x:v>
      </x:c>
      <x:c r="AB33" s="22">
        <x:f t="shared" si="16"/>
        <x:v>0</x:v>
      </x:c>
      <x:c r="AC33" s="21">
        <x:f t="shared" si="9"/>
        <x:v>-125</x:v>
      </x:c>
      <x:c r="AD33" s="22">
        <x:f t="shared" si="17"/>
        <x:v>162.5</x:v>
      </x:c>
      <x:c r="AE33" s="21">
        <x:f t="shared" si="18"/>
        <x:v>-162.5</x:v>
      </x:c>
      <x:c r="AG33" s="22" t="n">
        <x:f>if('分析'!C$17,J33,na)</x:f>
        <x:v>620</x:v>
      </x:c>
      <x:c r="AH33" s="4" t="n">
        <x:f>if('分析'!D$17,K33,na)</x:f>
        <x:v>-336</x:v>
      </x:c>
      <x:c r="AI33" s="4" t="n">
        <x:f>if('分析'!E$17,L33,na)</x:f>
        <x:v>177.5</x:v>
      </x:c>
      <x:c r="AJ33" s="4" t="n">
        <x:f>if('分析'!F$17,M33,na)</x:f>
        <x:v>697</x:v>
      </x:c>
      <x:c r="AK33" s="4" t="n">
        <x:f>if('分析'!G$17,N33,na)</x:f>
        <x:v>-394.5</x:v>
      </x:c>
      <x:c r="AL33" s="4" t="n">
        <x:f>if('分析'!H$17,O33,na)</x:f>
        <x:v>-165</x:v>
      </x:c>
      <x:c r="AM33" s="21" t="n">
        <x:f>if('分析'!I$17,P33,na)</x:f>
        <x:v>-415</x:v>
      </x:c>
    </x:row>
    <x:row r="34">
      <x:c r="B34" s="20">
        <x:v>-250.0</x:v>
      </x:c>
      <x:c r="C34" s="1">
        <x:v>172.5</x:v>
      </x:c>
      <x:c r="G34" s="1">
        <x:v>-30.0</x:v>
      </x:c>
      <x:c r="H34" s="23">
        <x:v>-92.5</x:v>
      </x:c>
      <x:c r="J34" s="22" t="n">
        <x:f t="shared" ref="J34:P34" si="45">J33+B34</x:f>
        <x:v>370</x:v>
      </x:c>
      <x:c r="K34" s="4">
        <x:f t="shared" si="45"/>
        <x:v>-163.5</x:v>
      </x:c>
      <x:c r="L34" s="4">
        <x:f t="shared" si="45"/>
        <x:v>177.5</x:v>
      </x:c>
      <x:c r="M34" s="4">
        <x:f t="shared" si="45"/>
        <x:v>697</x:v>
      </x:c>
      <x:c r="N34" s="4">
        <x:f t="shared" si="45"/>
        <x:v>-394.5</x:v>
      </x:c>
      <x:c r="O34" s="4">
        <x:f t="shared" si="45"/>
        <x:v>-195</x:v>
      </x:c>
      <x:c r="P34" s="21">
        <x:f t="shared" si="45"/>
        <x:v>-507.5</x:v>
      </x:c>
      <x:c r="R34" s="22">
        <x:f t="shared" si="11"/>
        <x:v>772.5</x:v>
      </x:c>
      <x:c r="S34" s="21">
        <x:f t="shared" si="4"/>
        <x:v>-152.5</x:v>
      </x:c>
      <x:c r="T34" s="22">
        <x:f t="shared" si="12"/>
        <x:v>219</x:v>
      </x:c>
      <x:c r="U34" s="21">
        <x:f t="shared" si="5"/>
        <x:v>-555</x:v>
      </x:c>
      <x:c r="V34" s="22">
        <x:f t="shared" si="13"/>
        <x:v>757.5</x:v>
      </x:c>
      <x:c r="W34" s="21">
        <x:f t="shared" si="6"/>
        <x:v>-580</x:v>
      </x:c>
      <x:c r="X34" s="22">
        <x:f t="shared" si="14"/>
        <x:v>697</x:v>
      </x:c>
      <x:c r="Y34" s="21">
        <x:f t="shared" si="7"/>
        <x:v>0</x:v>
      </x:c>
      <x:c r="Z34" s="22">
        <x:f t="shared" si="15"/>
        <x:v>238</x:v>
      </x:c>
      <x:c r="AA34" s="21">
        <x:f t="shared" si="8"/>
        <x:v>-632.5</x:v>
      </x:c>
      <x:c r="AB34" s="22">
        <x:f t="shared" si="16"/>
        <x:v>0</x:v>
      </x:c>
      <x:c r="AC34" s="21">
        <x:f t="shared" si="9"/>
        <x:v>-165</x:v>
      </x:c>
      <x:c r="AD34" s="22">
        <x:f t="shared" si="17"/>
        <x:v>162.5</x:v>
      </x:c>
      <x:c r="AE34" s="21">
        <x:f t="shared" si="18"/>
        <x:v>-162.5</x:v>
      </x:c>
      <x:c r="AG34" s="22" t="n">
        <x:f>if('分析'!C$17,J34,na)</x:f>
        <x:v>370</x:v>
      </x:c>
      <x:c r="AH34" s="4" t="n">
        <x:f>if('分析'!D$17,K34,na)</x:f>
        <x:v>-163.5</x:v>
      </x:c>
      <x:c r="AI34" s="4" t="n">
        <x:f>if('分析'!E$17,L34,na)</x:f>
        <x:v>177.5</x:v>
      </x:c>
      <x:c r="AJ34" s="4" t="n">
        <x:f>if('分析'!F$17,M34,na)</x:f>
        <x:v>697</x:v>
      </x:c>
      <x:c r="AK34" s="4" t="n">
        <x:f>if('分析'!G$17,N34,na)</x:f>
        <x:v>-394.5</x:v>
      </x:c>
      <x:c r="AL34" s="4" t="n">
        <x:f>if('分析'!H$17,O34,na)</x:f>
        <x:v>-195</x:v>
      </x:c>
      <x:c r="AM34" s="21" t="n">
        <x:f>if('分析'!I$17,P34,na)</x:f>
        <x:v>-507.5</x:v>
      </x:c>
    </x:row>
    <x:row r="35">
      <x:c r="B35" s="20">
        <x:v>-90.0</x:v>
      </x:c>
      <x:c r="C35" s="1">
        <x:v>-55.0</x:v>
      </x:c>
      <x:c r="G35" s="1">
        <x:v>-250.0</x:v>
      </x:c>
      <x:c r="H35" s="23">
        <x:v>-155.0</x:v>
      </x:c>
      <x:c r="J35" s="22" t="n">
        <x:f t="shared" ref="J35:P35" si="46">J34+B35</x:f>
        <x:v>280</x:v>
      </x:c>
      <x:c r="K35" s="4">
        <x:f t="shared" si="46"/>
        <x:v>-218.5</x:v>
      </x:c>
      <x:c r="L35" s="4">
        <x:f t="shared" si="46"/>
        <x:v>177.5</x:v>
      </x:c>
      <x:c r="M35" s="4">
        <x:f t="shared" si="46"/>
        <x:v>697</x:v>
      </x:c>
      <x:c r="N35" s="4">
        <x:f t="shared" si="46"/>
        <x:v>-394.5</x:v>
      </x:c>
      <x:c r="O35" s="4">
        <x:f t="shared" si="46"/>
        <x:v>-445</x:v>
      </x:c>
      <x:c r="P35" s="21">
        <x:f t="shared" si="46"/>
        <x:v>-662.5</x:v>
      </x:c>
      <x:c r="R35" s="22">
        <x:f t="shared" si="11"/>
        <x:v>772.5</x:v>
      </x:c>
      <x:c r="S35" s="21">
        <x:f t="shared" si="4"/>
        <x:v>-402.5</x:v>
      </x:c>
      <x:c r="T35" s="22">
        <x:f t="shared" si="12"/>
        <x:v>219</x:v>
      </x:c>
      <x:c r="U35" s="21">
        <x:f t="shared" si="5"/>
        <x:v>-382.5</x:v>
      </x:c>
      <x:c r="V35" s="22">
        <x:f t="shared" si="13"/>
        <x:v>757.5</x:v>
      </x:c>
      <x:c r="W35" s="21">
        <x:f t="shared" si="6"/>
        <x:v>-580</x:v>
      </x:c>
      <x:c r="X35" s="22">
        <x:f t="shared" si="14"/>
        <x:v>697</x:v>
      </x:c>
      <x:c r="Y35" s="21">
        <x:f t="shared" si="7"/>
        <x:v>0</x:v>
      </x:c>
      <x:c r="Z35" s="22">
        <x:f t="shared" si="15"/>
        <x:v>238</x:v>
      </x:c>
      <x:c r="AA35" s="21">
        <x:f t="shared" si="8"/>
        <x:v>-632.5</x:v>
      </x:c>
      <x:c r="AB35" s="22">
        <x:f t="shared" si="16"/>
        <x:v>0</x:v>
      </x:c>
      <x:c r="AC35" s="21">
        <x:f t="shared" si="9"/>
        <x:v>-195</x:v>
      </x:c>
      <x:c r="AD35" s="22">
        <x:f t="shared" si="17"/>
        <x:v>162.5</x:v>
      </x:c>
      <x:c r="AE35" s="21">
        <x:f t="shared" si="18"/>
        <x:v>-162.5</x:v>
      </x:c>
      <x:c r="AG35" s="22" t="n">
        <x:f>if('分析'!C$17,J35,na)</x:f>
        <x:v>280</x:v>
      </x:c>
      <x:c r="AH35" s="4" t="n">
        <x:f>if('分析'!D$17,K35,na)</x:f>
        <x:v>-218.5</x:v>
      </x:c>
      <x:c r="AI35" s="4" t="n">
        <x:f>if('分析'!E$17,L35,na)</x:f>
        <x:v>177.5</x:v>
      </x:c>
      <x:c r="AJ35" s="4" t="n">
        <x:f>if('分析'!F$17,M35,na)</x:f>
        <x:v>697</x:v>
      </x:c>
      <x:c r="AK35" s="4" t="n">
        <x:f>if('分析'!G$17,N35,na)</x:f>
        <x:v>-394.5</x:v>
      </x:c>
      <x:c r="AL35" s="4" t="n">
        <x:f>if('分析'!H$17,O35,na)</x:f>
        <x:v>-445</x:v>
      </x:c>
      <x:c r="AM35" s="21" t="n">
        <x:f>if('分析'!I$17,P35,na)</x:f>
        <x:v>-662.5</x:v>
      </x:c>
    </x:row>
    <x:row r="36">
      <x:c r="B36" s="20">
        <x:v>305.0</x:v>
      </x:c>
      <x:c r="C36" s="1">
        <x:v>-145.0</x:v>
      </x:c>
      <x:c r="G36" s="1">
        <x:v>112.5</x:v>
      </x:c>
      <x:c r="H36" s="23">
        <x:v>182.5</x:v>
      </x:c>
      <x:c r="J36" s="22" t="n">
        <x:f t="shared" ref="J36:P36" si="47">J35+B36</x:f>
        <x:v>585</x:v>
      </x:c>
      <x:c r="K36" s="4">
        <x:f t="shared" si="47"/>
        <x:v>-363.5</x:v>
      </x:c>
      <x:c r="L36" s="4">
        <x:f t="shared" si="47"/>
        <x:v>177.5</x:v>
      </x:c>
      <x:c r="M36" s="4">
        <x:f t="shared" si="47"/>
        <x:v>697</x:v>
      </x:c>
      <x:c r="N36" s="4">
        <x:f t="shared" si="47"/>
        <x:v>-394.5</x:v>
      </x:c>
      <x:c r="O36" s="4">
        <x:f t="shared" si="47"/>
        <x:v>-332.5</x:v>
      </x:c>
      <x:c r="P36" s="21">
        <x:f t="shared" si="47"/>
        <x:v>-480</x:v>
      </x:c>
      <x:c r="R36" s="22">
        <x:f t="shared" si="11"/>
        <x:v>772.5</x:v>
      </x:c>
      <x:c r="S36" s="21">
        <x:f t="shared" si="4"/>
        <x:v>-492.5</x:v>
      </x:c>
      <x:c r="T36" s="22">
        <x:f t="shared" si="12"/>
        <x:v>219</x:v>
      </x:c>
      <x:c r="U36" s="21">
        <x:f t="shared" si="5"/>
        <x:v>-437.5</x:v>
      </x:c>
      <x:c r="V36" s="22">
        <x:f t="shared" si="13"/>
        <x:v>757.5</x:v>
      </x:c>
      <x:c r="W36" s="21">
        <x:f t="shared" si="6"/>
        <x:v>-580</x:v>
      </x:c>
      <x:c r="X36" s="22">
        <x:f t="shared" si="14"/>
        <x:v>697</x:v>
      </x:c>
      <x:c r="Y36" s="21">
        <x:f t="shared" si="7"/>
        <x:v>0</x:v>
      </x:c>
      <x:c r="Z36" s="22">
        <x:f t="shared" si="15"/>
        <x:v>238</x:v>
      </x:c>
      <x:c r="AA36" s="21">
        <x:f t="shared" si="8"/>
        <x:v>-632.5</x:v>
      </x:c>
      <x:c r="AB36" s="22">
        <x:f t="shared" si="16"/>
        <x:v>0</x:v>
      </x:c>
      <x:c r="AC36" s="21">
        <x:f t="shared" si="9"/>
        <x:v>-445</x:v>
      </x:c>
      <x:c r="AD36" s="22">
        <x:f t="shared" si="17"/>
        <x:v>162.5</x:v>
      </x:c>
      <x:c r="AE36" s="21">
        <x:f t="shared" si="18"/>
        <x:v>-162.5</x:v>
      </x:c>
      <x:c r="AG36" s="22" t="n">
        <x:f>if('分析'!C$17,J36,na)</x:f>
        <x:v>585</x:v>
      </x:c>
      <x:c r="AH36" s="4" t="n">
        <x:f>if('分析'!D$17,K36,na)</x:f>
        <x:v>-363.5</x:v>
      </x:c>
      <x:c r="AI36" s="4" t="n">
        <x:f>if('分析'!E$17,L36,na)</x:f>
        <x:v>177.5</x:v>
      </x:c>
      <x:c r="AJ36" s="4" t="n">
        <x:f>if('分析'!F$17,M36,na)</x:f>
        <x:v>697</x:v>
      </x:c>
      <x:c r="AK36" s="4" t="n">
        <x:f>if('分析'!G$17,N36,na)</x:f>
        <x:v>-394.5</x:v>
      </x:c>
      <x:c r="AL36" s="4" t="n">
        <x:f>if('分析'!H$17,O36,na)</x:f>
        <x:v>-332.5</x:v>
      </x:c>
      <x:c r="AM36" s="21" t="n">
        <x:f>if('分析'!I$17,P36,na)</x:f>
        <x:v>-480</x:v>
      </x:c>
    </x:row>
    <x:row r="37">
      <x:c r="B37" s="20">
        <x:v>-70.0</x:v>
      </x:c>
      <x:c r="C37" s="1">
        <x:v>62.5</x:v>
      </x:c>
      <x:c r="G37" s="1">
        <x:v>-80.0</x:v>
      </x:c>
      <x:c r="H37" s="23">
        <x:v>350.0</x:v>
      </x:c>
      <x:c r="J37" s="22" t="n">
        <x:f t="shared" ref="J37:P37" si="48">J36+B37</x:f>
        <x:v>515</x:v>
      </x:c>
      <x:c r="K37" s="4">
        <x:f t="shared" si="48"/>
        <x:v>-301</x:v>
      </x:c>
      <x:c r="L37" s="4">
        <x:f t="shared" si="48"/>
        <x:v>177.5</x:v>
      </x:c>
      <x:c r="M37" s="4">
        <x:f t="shared" si="48"/>
        <x:v>697</x:v>
      </x:c>
      <x:c r="N37" s="4">
        <x:f t="shared" si="48"/>
        <x:v>-394.5</x:v>
      </x:c>
      <x:c r="O37" s="4">
        <x:f t="shared" si="48"/>
        <x:v>-412.5</x:v>
      </x:c>
      <x:c r="P37" s="21">
        <x:f t="shared" si="48"/>
        <x:v>-130</x:v>
      </x:c>
      <x:c r="R37" s="22">
        <x:f t="shared" si="11"/>
        <x:v>772.5</x:v>
      </x:c>
      <x:c r="S37" s="21">
        <x:f t="shared" si="4"/>
        <x:v>-187.5</x:v>
      </x:c>
      <x:c r="T37" s="22">
        <x:f t="shared" si="12"/>
        <x:v>219</x:v>
      </x:c>
      <x:c r="U37" s="21">
        <x:f t="shared" si="5"/>
        <x:v>-582.5</x:v>
      </x:c>
      <x:c r="V37" s="22">
        <x:f t="shared" si="13"/>
        <x:v>757.5</x:v>
      </x:c>
      <x:c r="W37" s="21">
        <x:f t="shared" si="6"/>
        <x:v>-580</x:v>
      </x:c>
      <x:c r="X37" s="22">
        <x:f t="shared" si="14"/>
        <x:v>697</x:v>
      </x:c>
      <x:c r="Y37" s="21">
        <x:f t="shared" si="7"/>
        <x:v>0</x:v>
      </x:c>
      <x:c r="Z37" s="22">
        <x:f t="shared" si="15"/>
        <x:v>238</x:v>
      </x:c>
      <x:c r="AA37" s="21">
        <x:f t="shared" si="8"/>
        <x:v>-632.5</x:v>
      </x:c>
      <x:c r="AB37" s="22">
        <x:f t="shared" si="16"/>
        <x:v>0</x:v>
      </x:c>
      <x:c r="AC37" s="21">
        <x:f t="shared" si="9"/>
        <x:v>-332.5</x:v>
      </x:c>
      <x:c r="AD37" s="22">
        <x:f t="shared" si="17"/>
        <x:v>162.5</x:v>
      </x:c>
      <x:c r="AE37" s="21">
        <x:f t="shared" si="18"/>
        <x:v>-162.5</x:v>
      </x:c>
      <x:c r="AG37" s="22" t="n">
        <x:f>if('分析'!C$17,J37,na)</x:f>
        <x:v>515</x:v>
      </x:c>
      <x:c r="AH37" s="4" t="n">
        <x:f>if('分析'!D$17,K37,na)</x:f>
        <x:v>-301</x:v>
      </x:c>
      <x:c r="AI37" s="4" t="n">
        <x:f>if('分析'!E$17,L37,na)</x:f>
        <x:v>177.5</x:v>
      </x:c>
      <x:c r="AJ37" s="4" t="n">
        <x:f>if('分析'!F$17,M37,na)</x:f>
        <x:v>697</x:v>
      </x:c>
      <x:c r="AK37" s="4" t="n">
        <x:f>if('分析'!G$17,N37,na)</x:f>
        <x:v>-394.5</x:v>
      </x:c>
      <x:c r="AL37" s="4" t="n">
        <x:f>if('分析'!H$17,O37,na)</x:f>
        <x:v>-412.5</x:v>
      </x:c>
      <x:c r="AM37" s="21" t="n">
        <x:f>if('分析'!I$17,P37,na)</x:f>
        <x:v>-130</x:v>
      </x:c>
    </x:row>
    <x:row r="38">
      <x:c r="B38" s="20">
        <x:v>-77.5</x:v>
      </x:c>
      <x:c r="C38" s="1">
        <x:v>135.0</x:v>
      </x:c>
      <x:c r="G38" s="1">
        <x:v>75.0</x:v>
      </x:c>
      <x:c r="H38" s="23">
        <x:v>12.5</x:v>
      </x:c>
      <x:c r="J38" s="22" t="n">
        <x:f t="shared" ref="J38:P38" si="49">J37+B38</x:f>
        <x:v>437.5</x:v>
      </x:c>
      <x:c r="K38" s="4">
        <x:f t="shared" si="49"/>
        <x:v>-166</x:v>
      </x:c>
      <x:c r="L38" s="4">
        <x:f t="shared" si="49"/>
        <x:v>177.5</x:v>
      </x:c>
      <x:c r="M38" s="4">
        <x:f t="shared" si="49"/>
        <x:v>697</x:v>
      </x:c>
      <x:c r="N38" s="4">
        <x:f t="shared" si="49"/>
        <x:v>-394.5</x:v>
      </x:c>
      <x:c r="O38" s="4">
        <x:f t="shared" si="49"/>
        <x:v>-337.5</x:v>
      </x:c>
      <x:c r="P38" s="21">
        <x:f t="shared" si="49"/>
        <x:v>-117.5</x:v>
      </x:c>
      <x:c r="R38" s="22">
        <x:f t="shared" si="11"/>
        <x:v>772.5</x:v>
      </x:c>
      <x:c r="S38" s="21">
        <x:f t="shared" si="4"/>
        <x:v>-257.5</x:v>
      </x:c>
      <x:c r="T38" s="22">
        <x:f t="shared" si="12"/>
        <x:v>219</x:v>
      </x:c>
      <x:c r="U38" s="21">
        <x:f t="shared" si="5"/>
        <x:v>-520</x:v>
      </x:c>
      <x:c r="V38" s="22">
        <x:f t="shared" si="13"/>
        <x:v>757.5</x:v>
      </x:c>
      <x:c r="W38" s="21">
        <x:f t="shared" si="6"/>
        <x:v>-580</x:v>
      </x:c>
      <x:c r="X38" s="22">
        <x:f t="shared" si="14"/>
        <x:v>697</x:v>
      </x:c>
      <x:c r="Y38" s="21">
        <x:f t="shared" si="7"/>
        <x:v>0</x:v>
      </x:c>
      <x:c r="Z38" s="22">
        <x:f t="shared" si="15"/>
        <x:v>238</x:v>
      </x:c>
      <x:c r="AA38" s="21">
        <x:f t="shared" si="8"/>
        <x:v>-632.5</x:v>
      </x:c>
      <x:c r="AB38" s="22">
        <x:f t="shared" si="16"/>
        <x:v>0</x:v>
      </x:c>
      <x:c r="AC38" s="21">
        <x:f t="shared" si="9"/>
        <x:v>-412.5</x:v>
      </x:c>
      <x:c r="AD38" s="22">
        <x:f t="shared" si="17"/>
        <x:v>162.5</x:v>
      </x:c>
      <x:c r="AE38" s="21">
        <x:f t="shared" si="18"/>
        <x:v>-162.5</x:v>
      </x:c>
      <x:c r="AG38" s="22" t="n">
        <x:f>if('分析'!C$17,J38,na)</x:f>
        <x:v>437.5</x:v>
      </x:c>
      <x:c r="AH38" s="4" t="n">
        <x:f>if('分析'!D$17,K38,na)</x:f>
        <x:v>-166</x:v>
      </x:c>
      <x:c r="AI38" s="4" t="n">
        <x:f>if('分析'!E$17,L38,na)</x:f>
        <x:v>177.5</x:v>
      </x:c>
      <x:c r="AJ38" s="4" t="n">
        <x:f>if('分析'!F$17,M38,na)</x:f>
        <x:v>697</x:v>
      </x:c>
      <x:c r="AK38" s="4" t="n">
        <x:f>if('分析'!G$17,N38,na)</x:f>
        <x:v>-394.5</x:v>
      </x:c>
      <x:c r="AL38" s="4" t="n">
        <x:f>if('分析'!H$17,O38,na)</x:f>
        <x:v>-337.5</x:v>
      </x:c>
      <x:c r="AM38" s="21" t="n">
        <x:f>if('分析'!I$17,P38,na)</x:f>
        <x:v>-117.5</x:v>
      </x:c>
    </x:row>
    <x:row r="39">
      <x:c r="B39" s="20">
        <x:v>160.0</x:v>
      </x:c>
      <x:c r="C39" s="1">
        <x:v>-192.5</x:v>
      </x:c>
      <x:c r="G39" s="1">
        <x:v>-75.0</x:v>
      </x:c>
      <x:c r="H39" s="23">
        <x:v>252.5</x:v>
      </x:c>
      <x:c r="J39" s="22" t="n">
        <x:f t="shared" ref="J39:P39" si="50">J38+B39</x:f>
        <x:v>597.5</x:v>
      </x:c>
      <x:c r="K39" s="4">
        <x:f t="shared" si="50"/>
        <x:v>-358.5</x:v>
      </x:c>
      <x:c r="L39" s="4">
        <x:f t="shared" si="50"/>
        <x:v>177.5</x:v>
      </x:c>
      <x:c r="M39" s="4">
        <x:f t="shared" si="50"/>
        <x:v>697</x:v>
      </x:c>
      <x:c r="N39" s="4">
        <x:f t="shared" si="50"/>
        <x:v>-394.5</x:v>
      </x:c>
      <x:c r="O39" s="4">
        <x:f t="shared" si="50"/>
        <x:v>-412.5</x:v>
      </x:c>
      <x:c r="P39" s="21">
        <x:f t="shared" si="50"/>
        <x:v>135</x:v>
      </x:c>
      <x:c r="R39" s="22">
        <x:f t="shared" si="11"/>
        <x:v>772.5</x:v>
      </x:c>
      <x:c r="S39" s="21">
        <x:f t="shared" si="4"/>
        <x:v>-335</x:v>
      </x:c>
      <x:c r="T39" s="22">
        <x:f t="shared" si="12"/>
        <x:v>219</x:v>
      </x:c>
      <x:c r="U39" s="21">
        <x:f t="shared" si="5"/>
        <x:v>-385</x:v>
      </x:c>
      <x:c r="V39" s="22">
        <x:f t="shared" si="13"/>
        <x:v>757.5</x:v>
      </x:c>
      <x:c r="W39" s="21">
        <x:f t="shared" si="6"/>
        <x:v>-580</x:v>
      </x:c>
      <x:c r="X39" s="22">
        <x:f t="shared" si="14"/>
        <x:v>697</x:v>
      </x:c>
      <x:c r="Y39" s="21">
        <x:f t="shared" si="7"/>
        <x:v>0</x:v>
      </x:c>
      <x:c r="Z39" s="22">
        <x:f t="shared" si="15"/>
        <x:v>238</x:v>
      </x:c>
      <x:c r="AA39" s="21">
        <x:f t="shared" si="8"/>
        <x:v>-632.5</x:v>
      </x:c>
      <x:c r="AB39" s="22">
        <x:f t="shared" si="16"/>
        <x:v>0</x:v>
      </x:c>
      <x:c r="AC39" s="21">
        <x:f t="shared" si="9"/>
        <x:v>-337.5</x:v>
      </x:c>
      <x:c r="AD39" s="22">
        <x:f t="shared" si="17"/>
        <x:v>162.5</x:v>
      </x:c>
      <x:c r="AE39" s="21">
        <x:f t="shared" si="18"/>
        <x:v>-162.5</x:v>
      </x:c>
      <x:c r="AG39" s="22" t="n">
        <x:f>if('分析'!C$17,J39,na)</x:f>
        <x:v>597.5</x:v>
      </x:c>
      <x:c r="AH39" s="4" t="n">
        <x:f>if('分析'!D$17,K39,na)</x:f>
        <x:v>-358.5</x:v>
      </x:c>
      <x:c r="AI39" s="4" t="n">
        <x:f>if('分析'!E$17,L39,na)</x:f>
        <x:v>177.5</x:v>
      </x:c>
      <x:c r="AJ39" s="4" t="n">
        <x:f>if('分析'!F$17,M39,na)</x:f>
        <x:v>697</x:v>
      </x:c>
      <x:c r="AK39" s="4" t="n">
        <x:f>if('分析'!G$17,N39,na)</x:f>
        <x:v>-394.5</x:v>
      </x:c>
      <x:c r="AL39" s="4" t="n">
        <x:f>if('分析'!H$17,O39,na)</x:f>
        <x:v>-412.5</x:v>
      </x:c>
      <x:c r="AM39" s="21" t="n">
        <x:f>if('分析'!I$17,P39,na)</x:f>
        <x:v>135</x:v>
      </x:c>
    </x:row>
    <x:row r="40">
      <x:c r="B40" s="20">
        <x:v>85.0</x:v>
      </x:c>
      <x:c r="C40" s="1">
        <x:v>-192.5</x:v>
      </x:c>
      <x:c r="G40" s="1">
        <x:v>-250.0</x:v>
      </x:c>
      <x:c r="H40" s="23">
        <x:v>-57.5</x:v>
      </x:c>
      <x:c r="J40" s="22" t="n">
        <x:f t="shared" ref="J40:P40" si="51">J39+B40</x:f>
        <x:v>682.5</x:v>
      </x:c>
      <x:c r="K40" s="4">
        <x:f t="shared" si="51"/>
        <x:v>-551</x:v>
      </x:c>
      <x:c r="L40" s="4">
        <x:f t="shared" si="51"/>
        <x:v>177.5</x:v>
      </x:c>
      <x:c r="M40" s="4">
        <x:f t="shared" si="51"/>
        <x:v>697</x:v>
      </x:c>
      <x:c r="N40" s="4">
        <x:f t="shared" si="51"/>
        <x:v>-394.5</x:v>
      </x:c>
      <x:c r="O40" s="4">
        <x:f t="shared" si="51"/>
        <x:v>-662.5</x:v>
      </x:c>
      <x:c r="P40" s="21">
        <x:f t="shared" si="51"/>
        <x:v>77.5</x:v>
      </x:c>
      <x:c r="R40" s="22">
        <x:f t="shared" si="11"/>
        <x:v>772.5</x:v>
      </x:c>
      <x:c r="S40" s="21">
        <x:f t="shared" si="4"/>
        <x:v>-175</x:v>
      </x:c>
      <x:c r="T40" s="22">
        <x:f t="shared" si="12"/>
        <x:v>219</x:v>
      </x:c>
      <x:c r="U40" s="21">
        <x:f t="shared" si="5"/>
        <x:v>-577.5</x:v>
      </x:c>
      <x:c r="V40" s="22">
        <x:f t="shared" si="13"/>
        <x:v>757.5</x:v>
      </x:c>
      <x:c r="W40" s="21">
        <x:f t="shared" si="6"/>
        <x:v>-580</x:v>
      </x:c>
      <x:c r="X40" s="22">
        <x:f t="shared" si="14"/>
        <x:v>697</x:v>
      </x:c>
      <x:c r="Y40" s="21">
        <x:f t="shared" si="7"/>
        <x:v>0</x:v>
      </x:c>
      <x:c r="Z40" s="22">
        <x:f t="shared" si="15"/>
        <x:v>238</x:v>
      </x:c>
      <x:c r="AA40" s="21">
        <x:f t="shared" si="8"/>
        <x:v>-632.5</x:v>
      </x:c>
      <x:c r="AB40" s="22">
        <x:f t="shared" si="16"/>
        <x:v>0</x:v>
      </x:c>
      <x:c r="AC40" s="21">
        <x:f t="shared" si="9"/>
        <x:v>-412.5</x:v>
      </x:c>
      <x:c r="AD40" s="22">
        <x:f t="shared" si="17"/>
        <x:v>162.5</x:v>
      </x:c>
      <x:c r="AE40" s="21">
        <x:f t="shared" si="18"/>
        <x:v>-162.5</x:v>
      </x:c>
      <x:c r="AG40" s="22" t="n">
        <x:f>if('分析'!C$17,J40,na)</x:f>
        <x:v>682.5</x:v>
      </x:c>
      <x:c r="AH40" s="4" t="n">
        <x:f>if('分析'!D$17,K40,na)</x:f>
        <x:v>-551</x:v>
      </x:c>
      <x:c r="AI40" s="4" t="n">
        <x:f>if('分析'!E$17,L40,na)</x:f>
        <x:v>177.5</x:v>
      </x:c>
      <x:c r="AJ40" s="4" t="n">
        <x:f>if('分析'!F$17,M40,na)</x:f>
        <x:v>697</x:v>
      </x:c>
      <x:c r="AK40" s="4" t="n">
        <x:f>if('分析'!G$17,N40,na)</x:f>
        <x:v>-394.5</x:v>
      </x:c>
      <x:c r="AL40" s="4" t="n">
        <x:f>if('分析'!H$17,O40,na)</x:f>
        <x:v>-662.5</x:v>
      </x:c>
      <x:c r="AM40" s="21" t="n">
        <x:f>if('分析'!I$17,P40,na)</x:f>
        <x:v>77.5</x:v>
      </x:c>
    </x:row>
    <x:row r="41">
      <x:c r="B41" s="20">
        <x:v>327.5</x:v>
      </x:c>
      <x:c r="C41" s="1">
        <x:v>-55.0</x:v>
      </x:c>
      <x:c r="F41" s="1">
        <x:v>-250.0</x:v>
      </x:c>
      <x:c r="G41" s="1">
        <x:v>35.0</x:v>
      </x:c>
      <x:c r="H41" s="23">
        <x:v>-57.5</x:v>
      </x:c>
      <x:c r="J41" s="22" t="n">
        <x:f t="shared" ref="J41:P41" si="52">J40+B41</x:f>
        <x:v>1010</x:v>
      </x:c>
      <x:c r="K41" s="4">
        <x:f t="shared" si="52"/>
        <x:v>-606</x:v>
      </x:c>
      <x:c r="L41" s="4">
        <x:f t="shared" si="52"/>
        <x:v>177.5</x:v>
      </x:c>
      <x:c r="M41" s="4">
        <x:f t="shared" si="52"/>
        <x:v>697</x:v>
      </x:c>
      <x:c r="N41" s="4">
        <x:f t="shared" si="52"/>
        <x:v>-644.5</x:v>
      </x:c>
      <x:c r="O41" s="4">
        <x:f t="shared" si="52"/>
        <x:v>-627.5</x:v>
      </x:c>
      <x:c r="P41" s="21">
        <x:f t="shared" si="52"/>
        <x:v>20</x:v>
      </x:c>
      <x:c r="R41" s="22">
        <x:f t="shared" si="11"/>
        <x:v>772.5</x:v>
      </x:c>
      <x:c r="S41" s="21">
        <x:f t="shared" si="4"/>
        <x:v>-90</x:v>
      </x:c>
      <x:c r="T41" s="22">
        <x:f t="shared" si="12"/>
        <x:v>219</x:v>
      </x:c>
      <x:c r="U41" s="21">
        <x:f t="shared" si="5"/>
        <x:v>-770</x:v>
      </x:c>
      <x:c r="V41" s="22">
        <x:f t="shared" si="13"/>
        <x:v>757.5</x:v>
      </x:c>
      <x:c r="W41" s="21">
        <x:f t="shared" si="6"/>
        <x:v>-580</x:v>
      </x:c>
      <x:c r="X41" s="22">
        <x:f t="shared" si="14"/>
        <x:v>697</x:v>
      </x:c>
      <x:c r="Y41" s="21">
        <x:f t="shared" si="7"/>
        <x:v>0</x:v>
      </x:c>
      <x:c r="Z41" s="22">
        <x:f t="shared" si="15"/>
        <x:v>238</x:v>
      </x:c>
      <x:c r="AA41" s="21">
        <x:f t="shared" si="8"/>
        <x:v>-632.5</x:v>
      </x:c>
      <x:c r="AB41" s="22">
        <x:f t="shared" si="16"/>
        <x:v>0</x:v>
      </x:c>
      <x:c r="AC41" s="21">
        <x:f t="shared" si="9"/>
        <x:v>-662.5</x:v>
      </x:c>
      <x:c r="AD41" s="22">
        <x:f t="shared" si="17"/>
        <x:v>162.5</x:v>
      </x:c>
      <x:c r="AE41" s="21">
        <x:f t="shared" si="18"/>
        <x:v>-162.5</x:v>
      </x:c>
      <x:c r="AG41" s="22" t="n">
        <x:f>if('分析'!C$17,J41,na)</x:f>
        <x:v>1010</x:v>
      </x:c>
      <x:c r="AH41" s="4" t="n">
        <x:f>if('分析'!D$17,K41,na)</x:f>
        <x:v>-606</x:v>
      </x:c>
      <x:c r="AI41" s="4" t="n">
        <x:f>if('分析'!E$17,L41,na)</x:f>
        <x:v>177.5</x:v>
      </x:c>
      <x:c r="AJ41" s="4" t="n">
        <x:f>if('分析'!F$17,M41,na)</x:f>
        <x:v>697</x:v>
      </x:c>
      <x:c r="AK41" s="4" t="n">
        <x:f>if('分析'!G$17,N41,na)</x:f>
        <x:v>-644.5</x:v>
      </x:c>
      <x:c r="AL41" s="4" t="n">
        <x:f>if('分析'!H$17,O41,na)</x:f>
        <x:v>-627.5</x:v>
      </x:c>
      <x:c r="AM41" s="21" t="n">
        <x:f>if('分析'!I$17,P41,na)</x:f>
        <x:v>20</x:v>
      </x:c>
    </x:row>
    <x:row r="42">
      <x:c r="B42" s="20">
        <x:v>-250.0</x:v>
      </x:c>
      <x:c r="C42" s="1">
        <x:v>-5.0</x:v>
      </x:c>
      <x:c r="E42" s="1">
        <x:v>37.5</x:v>
      </x:c>
      <x:c r="F42" s="1">
        <x:v>105.0</x:v>
      </x:c>
      <x:c r="G42" s="1">
        <x:v>10.0</x:v>
      </x:c>
      <x:c r="H42" s="23">
        <x:v>-45.0</x:v>
      </x:c>
      <x:c r="J42" s="22" t="n">
        <x:f t="shared" ref="J42:P42" si="53">J41+B42</x:f>
        <x:v>760</x:v>
      </x:c>
      <x:c r="K42" s="4">
        <x:f t="shared" si="53"/>
        <x:v>-611</x:v>
      </x:c>
      <x:c r="L42" s="4">
        <x:f t="shared" si="53"/>
        <x:v>177.5</x:v>
      </x:c>
      <x:c r="M42" s="4">
        <x:f t="shared" si="53"/>
        <x:v>734.5</x:v>
      </x:c>
      <x:c r="N42" s="4">
        <x:f t="shared" si="53"/>
        <x:v>-539.5</x:v>
      </x:c>
      <x:c r="O42" s="4">
        <x:f t="shared" si="53"/>
        <x:v>-617.5</x:v>
      </x:c>
      <x:c r="P42" s="21">
        <x:f t="shared" si="53"/>
        <x:v>-25</x:v>
      </x:c>
      <x:c r="R42" s="22">
        <x:f t="shared" si="11"/>
        <x:v>1010</x:v>
      </x:c>
      <x:c r="S42" s="21">
        <x:f t="shared" si="4"/>
        <x:v>0</x:v>
      </x:c>
      <x:c r="T42" s="22">
        <x:f t="shared" si="12"/>
        <x:v>219</x:v>
      </x:c>
      <x:c r="U42" s="21">
        <x:f t="shared" si="5"/>
        <x:v>-825</x:v>
      </x:c>
      <x:c r="V42" s="22">
        <x:f t="shared" si="13"/>
        <x:v>757.5</x:v>
      </x:c>
      <x:c r="W42" s="21">
        <x:f t="shared" si="6"/>
        <x:v>-580</x:v>
      </x:c>
      <x:c r="X42" s="22">
        <x:f t="shared" si="14"/>
        <x:v>697</x:v>
      </x:c>
      <x:c r="Y42" s="21">
        <x:f t="shared" si="7"/>
        <x:v>0</x:v>
      </x:c>
      <x:c r="Z42" s="22">
        <x:f t="shared" si="15"/>
        <x:v>238</x:v>
      </x:c>
      <x:c r="AA42" s="21">
        <x:f t="shared" si="8"/>
        <x:v>-882.5</x:v>
      </x:c>
      <x:c r="AB42" s="22">
        <x:f t="shared" si="16"/>
        <x:v>0</x:v>
      </x:c>
      <x:c r="AC42" s="21">
        <x:f t="shared" si="9"/>
        <x:v>-627.5</x:v>
      </x:c>
      <x:c r="AD42" s="22">
        <x:f t="shared" si="17"/>
        <x:v>162.5</x:v>
      </x:c>
      <x:c r="AE42" s="21">
        <x:f t="shared" si="18"/>
        <x:v>-162.5</x:v>
      </x:c>
      <x:c r="AG42" s="22" t="n">
        <x:f>if('分析'!C$17,J42,na)</x:f>
        <x:v>760</x:v>
      </x:c>
      <x:c r="AH42" s="4" t="n">
        <x:f>if('分析'!D$17,K42,na)</x:f>
        <x:v>-611</x:v>
      </x:c>
      <x:c r="AI42" s="4" t="n">
        <x:f>if('分析'!E$17,L42,na)</x:f>
        <x:v>177.5</x:v>
      </x:c>
      <x:c r="AJ42" s="4" t="n">
        <x:f>if('分析'!F$17,M42,na)</x:f>
        <x:v>734.5</x:v>
      </x:c>
      <x:c r="AK42" s="4" t="n">
        <x:f>if('分析'!G$17,N42,na)</x:f>
        <x:v>-539.5</x:v>
      </x:c>
      <x:c r="AL42" s="4" t="n">
        <x:f>if('分析'!H$17,O42,na)</x:f>
        <x:v>-617.5</x:v>
      </x:c>
      <x:c r="AM42" s="21" t="n">
        <x:f>if('分析'!I$17,P42,na)</x:f>
        <x:v>-25</x:v>
      </x:c>
    </x:row>
    <x:row r="43">
      <x:c r="B43" s="20">
        <x:v>-250.0</x:v>
      </x:c>
      <x:c r="C43" s="1">
        <x:v>77.5</x:v>
      </x:c>
      <x:c r="E43" s="1">
        <x:v>-22.5</x:v>
      </x:c>
      <x:c r="F43" s="1">
        <x:v>17.5</x:v>
      </x:c>
      <x:c r="G43" s="1">
        <x:v>470.0</x:v>
      </x:c>
      <x:c r="H43" s="23">
        <x:v>-42.5</x:v>
      </x:c>
      <x:c r="J43" s="22" t="n">
        <x:f t="shared" ref="J43:P43" si="54">J42+B43</x:f>
        <x:v>510</x:v>
      </x:c>
      <x:c r="K43" s="4">
        <x:f t="shared" si="54"/>
        <x:v>-533.5</x:v>
      </x:c>
      <x:c r="L43" s="4">
        <x:f t="shared" si="54"/>
        <x:v>177.5</x:v>
      </x:c>
      <x:c r="M43" s="4">
        <x:f t="shared" si="54"/>
        <x:v>712</x:v>
      </x:c>
      <x:c r="N43" s="4">
        <x:f t="shared" si="54"/>
        <x:v>-522</x:v>
      </x:c>
      <x:c r="O43" s="4">
        <x:f t="shared" si="54"/>
        <x:v>-147.5</x:v>
      </x:c>
      <x:c r="P43" s="21">
        <x:f t="shared" si="54"/>
        <x:v>-67.5</x:v>
      </x:c>
      <x:c r="R43" s="22">
        <x:f t="shared" si="11"/>
        <x:v>1010</x:v>
      </x:c>
      <x:c r="S43" s="21">
        <x:f t="shared" si="4"/>
        <x:v>-250</x:v>
      </x:c>
      <x:c r="T43" s="22">
        <x:f t="shared" si="12"/>
        <x:v>219</x:v>
      </x:c>
      <x:c r="U43" s="21">
        <x:f t="shared" si="5"/>
        <x:v>-830</x:v>
      </x:c>
      <x:c r="V43" s="22">
        <x:f t="shared" si="13"/>
        <x:v>757.5</x:v>
      </x:c>
      <x:c r="W43" s="21">
        <x:f t="shared" si="6"/>
        <x:v>-580</x:v>
      </x:c>
      <x:c r="X43" s="22">
        <x:f t="shared" si="14"/>
        <x:v>734.5</x:v>
      </x:c>
      <x:c r="Y43" s="21">
        <x:f t="shared" si="7"/>
        <x:v>0</x:v>
      </x:c>
      <x:c r="Z43" s="22">
        <x:f t="shared" si="15"/>
        <x:v>238</x:v>
      </x:c>
      <x:c r="AA43" s="21">
        <x:f t="shared" si="8"/>
        <x:v>-777.5</x:v>
      </x:c>
      <x:c r="AB43" s="22">
        <x:f t="shared" si="16"/>
        <x:v>0</x:v>
      </x:c>
      <x:c r="AC43" s="21">
        <x:f t="shared" si="9"/>
        <x:v>-617.5</x:v>
      </x:c>
      <x:c r="AD43" s="22">
        <x:f t="shared" si="17"/>
        <x:v>162.5</x:v>
      </x:c>
      <x:c r="AE43" s="21">
        <x:f t="shared" si="18"/>
        <x:v>-162.5</x:v>
      </x:c>
      <x:c r="AG43" s="22" t="n">
        <x:f>if('分析'!C$17,J43,na)</x:f>
        <x:v>510</x:v>
      </x:c>
      <x:c r="AH43" s="4" t="n">
        <x:f>if('分析'!D$17,K43,na)</x:f>
        <x:v>-533.5</x:v>
      </x:c>
      <x:c r="AI43" s="4" t="n">
        <x:f>if('分析'!E$17,L43,na)</x:f>
        <x:v>177.5</x:v>
      </x:c>
      <x:c r="AJ43" s="4" t="n">
        <x:f>if('分析'!F$17,M43,na)</x:f>
        <x:v>712</x:v>
      </x:c>
      <x:c r="AK43" s="4" t="n">
        <x:f>if('分析'!G$17,N43,na)</x:f>
        <x:v>-522</x:v>
      </x:c>
      <x:c r="AL43" s="4" t="n">
        <x:f>if('分析'!H$17,O43,na)</x:f>
        <x:v>-147.5</x:v>
      </x:c>
      <x:c r="AM43" s="21" t="n">
        <x:f>if('分析'!I$17,P43,na)</x:f>
        <x:v>-67.5</x:v>
      </x:c>
    </x:row>
    <x:row r="44">
      <x:c r="B44" s="20">
        <x:v>-65.0</x:v>
      </x:c>
      <x:c r="C44" s="1">
        <x:v>-102.5</x:v>
      </x:c>
      <x:c r="E44" s="1">
        <x:v>42.5</x:v>
      </x:c>
      <x:c r="F44" s="1">
        <x:v>160.0</x:v>
      </x:c>
      <x:c r="G44" s="1">
        <x:v>-250.0</x:v>
      </x:c>
      <x:c r="H44" s="23">
        <x:v>30.0</x:v>
      </x:c>
      <x:c r="J44" s="22" t="n">
        <x:f t="shared" ref="J44:P44" si="55">J43+B44</x:f>
        <x:v>445</x:v>
      </x:c>
      <x:c r="K44" s="4">
        <x:f t="shared" si="55"/>
        <x:v>-636</x:v>
      </x:c>
      <x:c r="L44" s="4">
        <x:f t="shared" si="55"/>
        <x:v>177.5</x:v>
      </x:c>
      <x:c r="M44" s="4">
        <x:f t="shared" si="55"/>
        <x:v>754.5</x:v>
      </x:c>
      <x:c r="N44" s="4">
        <x:f t="shared" si="55"/>
        <x:v>-362</x:v>
      </x:c>
      <x:c r="O44" s="4">
        <x:f t="shared" si="55"/>
        <x:v>-397.5</x:v>
      </x:c>
      <x:c r="P44" s="21">
        <x:f t="shared" si="55"/>
        <x:v>-37.5</x:v>
      </x:c>
      <x:c r="R44" s="22">
        <x:f t="shared" si="11"/>
        <x:v>1010</x:v>
      </x:c>
      <x:c r="S44" s="21">
        <x:f t="shared" si="4"/>
        <x:v>-500</x:v>
      </x:c>
      <x:c r="T44" s="22">
        <x:f t="shared" si="12"/>
        <x:v>219</x:v>
      </x:c>
      <x:c r="U44" s="21">
        <x:f t="shared" si="5"/>
        <x:v>-752.5</x:v>
      </x:c>
      <x:c r="V44" s="22">
        <x:f t="shared" si="13"/>
        <x:v>757.5</x:v>
      </x:c>
      <x:c r="W44" s="21">
        <x:f t="shared" si="6"/>
        <x:v>-580</x:v>
      </x:c>
      <x:c r="X44" s="22">
        <x:f t="shared" si="14"/>
        <x:v>734.5</x:v>
      </x:c>
      <x:c r="Y44" s="21">
        <x:f t="shared" si="7"/>
        <x:v>-22.5</x:v>
      </x:c>
      <x:c r="Z44" s="22">
        <x:f t="shared" si="15"/>
        <x:v>238</x:v>
      </x:c>
      <x:c r="AA44" s="21">
        <x:f t="shared" si="8"/>
        <x:v>-760</x:v>
      </x:c>
      <x:c r="AB44" s="22">
        <x:f t="shared" si="16"/>
        <x:v>0</x:v>
      </x:c>
      <x:c r="AC44" s="21">
        <x:f t="shared" si="9"/>
        <x:v>-147.5</x:v>
      </x:c>
      <x:c r="AD44" s="22">
        <x:f t="shared" si="17"/>
        <x:v>162.5</x:v>
      </x:c>
      <x:c r="AE44" s="21">
        <x:f t="shared" si="18"/>
        <x:v>-162.5</x:v>
      </x:c>
      <x:c r="AG44" s="22" t="n">
        <x:f>if('分析'!C$17,J44,na)</x:f>
        <x:v>445</x:v>
      </x:c>
      <x:c r="AH44" s="4" t="n">
        <x:f>if('分析'!D$17,K44,na)</x:f>
        <x:v>-636</x:v>
      </x:c>
      <x:c r="AI44" s="4" t="n">
        <x:f>if('分析'!E$17,L44,na)</x:f>
        <x:v>177.5</x:v>
      </x:c>
      <x:c r="AJ44" s="4" t="n">
        <x:f>if('分析'!F$17,M44,na)</x:f>
        <x:v>754.5</x:v>
      </x:c>
      <x:c r="AK44" s="4" t="n">
        <x:f>if('分析'!G$17,N44,na)</x:f>
        <x:v>-362</x:v>
      </x:c>
      <x:c r="AL44" s="4" t="n">
        <x:f>if('分析'!H$17,O44,na)</x:f>
        <x:v>-397.5</x:v>
      </x:c>
      <x:c r="AM44" s="21" t="n">
        <x:f>if('分析'!I$17,P44,na)</x:f>
        <x:v>-37.5</x:v>
      </x:c>
    </x:row>
    <x:row r="45">
      <x:c r="B45" s="20">
        <x:v>160.0</x:v>
      </x:c>
      <x:c r="C45" s="1">
        <x:v>-5.0</x:v>
      </x:c>
      <x:c r="E45" s="1">
        <x:v>-250.0</x:v>
      </x:c>
      <x:c r="F45" s="1">
        <x:v>-10.0</x:v>
      </x:c>
      <x:c r="H45" s="23">
        <x:v>215.0</x:v>
      </x:c>
      <x:c r="J45" s="22" t="n">
        <x:f t="shared" ref="J45:P45" si="56">J44+B45</x:f>
        <x:v>605</x:v>
      </x:c>
      <x:c r="K45" s="4">
        <x:f t="shared" si="56"/>
        <x:v>-641</x:v>
      </x:c>
      <x:c r="L45" s="4">
        <x:f t="shared" si="56"/>
        <x:v>177.5</x:v>
      </x:c>
      <x:c r="M45" s="4">
        <x:f t="shared" si="56"/>
        <x:v>504.5</x:v>
      </x:c>
      <x:c r="N45" s="4">
        <x:f t="shared" si="56"/>
        <x:v>-372</x:v>
      </x:c>
      <x:c r="O45" s="4">
        <x:f t="shared" si="56"/>
        <x:v>-397.5</x:v>
      </x:c>
      <x:c r="P45" s="21">
        <x:f t="shared" si="56"/>
        <x:v>177.5</x:v>
      </x:c>
      <x:c r="R45" s="22">
        <x:f t="shared" si="11"/>
        <x:v>1010</x:v>
      </x:c>
      <x:c r="S45" s="21">
        <x:f t="shared" si="4"/>
        <x:v>-565</x:v>
      </x:c>
      <x:c r="T45" s="22">
        <x:f t="shared" si="12"/>
        <x:v>219</x:v>
      </x:c>
      <x:c r="U45" s="21">
        <x:f t="shared" si="5"/>
        <x:v>-855</x:v>
      </x:c>
      <x:c r="V45" s="22">
        <x:f t="shared" si="13"/>
        <x:v>757.5</x:v>
      </x:c>
      <x:c r="W45" s="21">
        <x:f t="shared" si="6"/>
        <x:v>-580</x:v>
      </x:c>
      <x:c r="X45" s="22">
        <x:f t="shared" si="14"/>
        <x:v>754.5</x:v>
      </x:c>
      <x:c r="Y45" s="21">
        <x:f t="shared" si="7"/>
        <x:v>0</x:v>
      </x:c>
      <x:c r="Z45" s="22">
        <x:f t="shared" si="15"/>
        <x:v>238</x:v>
      </x:c>
      <x:c r="AA45" s="21">
        <x:f t="shared" si="8"/>
        <x:v>-600</x:v>
      </x:c>
      <x:c r="AB45" s="22">
        <x:f t="shared" si="16"/>
        <x:v>0</x:v>
      </x:c>
      <x:c r="AC45" s="21">
        <x:f t="shared" si="9"/>
        <x:v>-397.5</x:v>
      </x:c>
      <x:c r="AD45" s="22">
        <x:f t="shared" si="17"/>
        <x:v>162.5</x:v>
      </x:c>
      <x:c r="AE45" s="21">
        <x:f t="shared" si="18"/>
        <x:v>-162.5</x:v>
      </x:c>
      <x:c r="AG45" s="22" t="n">
        <x:f>if('分析'!C$17,J45,na)</x:f>
        <x:v>605</x:v>
      </x:c>
      <x:c r="AH45" s="4" t="n">
        <x:f>if('分析'!D$17,K45,na)</x:f>
        <x:v>-641</x:v>
      </x:c>
      <x:c r="AI45" s="4" t="n">
        <x:f>if('分析'!E$17,L45,na)</x:f>
        <x:v>177.5</x:v>
      </x:c>
      <x:c r="AJ45" s="4" t="n">
        <x:f>if('分析'!F$17,M45,na)</x:f>
        <x:v>504.5</x:v>
      </x:c>
      <x:c r="AK45" s="4" t="n">
        <x:f>if('分析'!G$17,N45,na)</x:f>
        <x:v>-372</x:v>
      </x:c>
      <x:c r="AL45" s="4" t="n">
        <x:f>if('分析'!H$17,O45,na)</x:f>
        <x:v>-397.5</x:v>
      </x:c>
      <x:c r="AM45" s="21" t="n">
        <x:f>if('分析'!I$17,P45,na)</x:f>
        <x:v>177.5</x:v>
      </x:c>
    </x:row>
    <x:row r="46">
      <x:c r="B46" s="20">
        <x:v>-10.0</x:v>
      </x:c>
      <x:c r="C46" s="1">
        <x:v>420.0</x:v>
      </x:c>
      <x:c r="E46" s="1">
        <x:v>-250.0</x:v>
      </x:c>
      <x:c r="F46" s="1">
        <x:v>-92.5</x:v>
      </x:c>
      <x:c r="G46" s="1">
        <x:v>-85.0</x:v>
      </x:c>
      <x:c r="H46" s="23">
        <x:v>60.0</x:v>
      </x:c>
      <x:c r="J46" s="22" t="n">
        <x:f t="shared" ref="J46:P46" si="57">J45+B46</x:f>
        <x:v>595</x:v>
      </x:c>
      <x:c r="K46" s="4">
        <x:f t="shared" si="57"/>
        <x:v>-221</x:v>
      </x:c>
      <x:c r="L46" s="4">
        <x:f t="shared" si="57"/>
        <x:v>177.5</x:v>
      </x:c>
      <x:c r="M46" s="4">
        <x:f t="shared" si="57"/>
        <x:v>254.5</x:v>
      </x:c>
      <x:c r="N46" s="4">
        <x:f t="shared" si="57"/>
        <x:v>-464.5</x:v>
      </x:c>
      <x:c r="O46" s="4">
        <x:f t="shared" si="57"/>
        <x:v>-482.5</x:v>
      </x:c>
      <x:c r="P46" s="21">
        <x:f t="shared" si="57"/>
        <x:v>237.5</x:v>
      </x:c>
      <x:c r="R46" s="22">
        <x:f t="shared" si="11"/>
        <x:v>1010</x:v>
      </x:c>
      <x:c r="S46" s="21">
        <x:f t="shared" si="4"/>
        <x:v>-405</x:v>
      </x:c>
      <x:c r="T46" s="22">
        <x:f t="shared" si="12"/>
        <x:v>219</x:v>
      </x:c>
      <x:c r="U46" s="21">
        <x:f t="shared" si="5"/>
        <x:v>-860</x:v>
      </x:c>
      <x:c r="V46" s="22">
        <x:f t="shared" si="13"/>
        <x:v>757.5</x:v>
      </x:c>
      <x:c r="W46" s="21">
        <x:f t="shared" si="6"/>
        <x:v>-580</x:v>
      </x:c>
      <x:c r="X46" s="22">
        <x:f t="shared" si="14"/>
        <x:v>754.5</x:v>
      </x:c>
      <x:c r="Y46" s="21">
        <x:f t="shared" si="7"/>
        <x:v>-250</x:v>
      </x:c>
      <x:c r="Z46" s="22">
        <x:f t="shared" si="15"/>
        <x:v>238</x:v>
      </x:c>
      <x:c r="AA46" s="21">
        <x:f t="shared" si="8"/>
        <x:v>-610</x:v>
      </x:c>
      <x:c r="AB46" s="22">
        <x:f t="shared" si="16"/>
        <x:v>0</x:v>
      </x:c>
      <x:c r="AC46" s="21">
        <x:f t="shared" si="9"/>
        <x:v>-397.5</x:v>
      </x:c>
      <x:c r="AD46" s="22">
        <x:f t="shared" si="17"/>
        <x:v>177.5</x:v>
      </x:c>
      <x:c r="AE46" s="21">
        <x:f t="shared" si="18"/>
        <x:v>-177.5</x:v>
      </x:c>
      <x:c r="AG46" s="22" t="n">
        <x:f>if('分析'!C$17,J46,na)</x:f>
        <x:v>595</x:v>
      </x:c>
      <x:c r="AH46" s="4" t="n">
        <x:f>if('分析'!D$17,K46,na)</x:f>
        <x:v>-221</x:v>
      </x:c>
      <x:c r="AI46" s="4" t="n">
        <x:f>if('分析'!E$17,L46,na)</x:f>
        <x:v>177.5</x:v>
      </x:c>
      <x:c r="AJ46" s="4" t="n">
        <x:f>if('分析'!F$17,M46,na)</x:f>
        <x:v>254.5</x:v>
      </x:c>
      <x:c r="AK46" s="4" t="n">
        <x:f>if('分析'!G$17,N46,na)</x:f>
        <x:v>-464.5</x:v>
      </x:c>
      <x:c r="AL46" s="4" t="n">
        <x:f>if('分析'!H$17,O46,na)</x:f>
        <x:v>-482.5</x:v>
      </x:c>
      <x:c r="AM46" s="21" t="n">
        <x:f>if('分析'!I$17,P46,na)</x:f>
        <x:v>237.5</x:v>
      </x:c>
    </x:row>
    <x:row r="47">
      <x:c r="B47" s="20">
        <x:v>105.0</x:v>
      </x:c>
      <x:c r="C47" s="1">
        <x:v>232.5</x:v>
      </x:c>
      <x:c r="E47" s="1">
        <x:v>-32.5</x:v>
      </x:c>
      <x:c r="F47" s="1">
        <x:v>250.0</x:v>
      </x:c>
      <x:c r="G47" s="1">
        <x:v>-112.5</x:v>
      </x:c>
      <x:c r="H47" s="23">
        <x:v>-250.0</x:v>
      </x:c>
      <x:c r="J47" s="22" t="n">
        <x:f t="shared" ref="J47:P47" si="58">J46+B47</x:f>
        <x:v>700</x:v>
      </x:c>
      <x:c r="K47" s="4">
        <x:f t="shared" si="58"/>
        <x:v>11.5</x:v>
      </x:c>
      <x:c r="L47" s="4">
        <x:f t="shared" si="58"/>
        <x:v>177.5</x:v>
      </x:c>
      <x:c r="M47" s="4">
        <x:f t="shared" si="58"/>
        <x:v>222</x:v>
      </x:c>
      <x:c r="N47" s="4">
        <x:f t="shared" si="58"/>
        <x:v>-214.5</x:v>
      </x:c>
      <x:c r="O47" s="4">
        <x:f t="shared" si="58"/>
        <x:v>-595</x:v>
      </x:c>
      <x:c r="P47" s="21">
        <x:f t="shared" si="58"/>
        <x:v>-12.5</x:v>
      </x:c>
      <x:c r="R47" s="22">
        <x:f t="shared" si="11"/>
        <x:v>1010</x:v>
      </x:c>
      <x:c r="S47" s="21">
        <x:f t="shared" si="4"/>
        <x:v>-415</x:v>
      </x:c>
      <x:c r="T47" s="22">
        <x:f t="shared" si="12"/>
        <x:v>219</x:v>
      </x:c>
      <x:c r="U47" s="21">
        <x:f t="shared" si="5"/>
        <x:v>-440</x:v>
      </x:c>
      <x:c r="V47" s="22">
        <x:f t="shared" si="13"/>
        <x:v>757.5</x:v>
      </x:c>
      <x:c r="W47" s="21">
        <x:f t="shared" si="6"/>
        <x:v>-580</x:v>
      </x:c>
      <x:c r="X47" s="22">
        <x:f t="shared" si="14"/>
        <x:v>754.5</x:v>
      </x:c>
      <x:c r="Y47" s="21">
        <x:f t="shared" si="7"/>
        <x:v>-500</x:v>
      </x:c>
      <x:c r="Z47" s="22">
        <x:f t="shared" si="15"/>
        <x:v>238</x:v>
      </x:c>
      <x:c r="AA47" s="21">
        <x:f t="shared" si="8"/>
        <x:v>-702.5</x:v>
      </x:c>
      <x:c r="AB47" s="22">
        <x:f t="shared" si="16"/>
        <x:v>0</x:v>
      </x:c>
      <x:c r="AC47" s="21">
        <x:f t="shared" si="9"/>
        <x:v>-482.5</x:v>
      </x:c>
      <x:c r="AD47" s="22">
        <x:f t="shared" si="17"/>
        <x:v>237.5</x:v>
      </x:c>
      <x:c r="AE47" s="21">
        <x:f t="shared" si="18"/>
        <x:v>-237.5</x:v>
      </x:c>
      <x:c r="AG47" s="22" t="n">
        <x:f>if('分析'!C$17,J47,na)</x:f>
        <x:v>700</x:v>
      </x:c>
      <x:c r="AH47" s="4" t="n">
        <x:f>if('分析'!D$17,K47,na)</x:f>
        <x:v>11.5</x:v>
      </x:c>
      <x:c r="AI47" s="4" t="n">
        <x:f>if('分析'!E$17,L47,na)</x:f>
        <x:v>177.5</x:v>
      </x:c>
      <x:c r="AJ47" s="4" t="n">
        <x:f>if('分析'!F$17,M47,na)</x:f>
        <x:v>222</x:v>
      </x:c>
      <x:c r="AK47" s="4" t="n">
        <x:f>if('分析'!G$17,N47,na)</x:f>
        <x:v>-214.5</x:v>
      </x:c>
      <x:c r="AL47" s="4" t="n">
        <x:f>if('分析'!H$17,O47,na)</x:f>
        <x:v>-595</x:v>
      </x:c>
      <x:c r="AM47" s="21" t="n">
        <x:f>if('分析'!I$17,P47,na)</x:f>
        <x:v>-12.5</x:v>
      </x:c>
    </x:row>
    <x:row r="48">
      <x:c r="B48" s="20">
        <x:v>225.0</x:v>
      </x:c>
      <x:c r="C48" s="1">
        <x:v>30.0</x:v>
      </x:c>
      <x:c r="E48" s="1">
        <x:v>-30.0</x:v>
      </x:c>
      <x:c r="F48" s="1">
        <x:v>25.0</x:v>
      </x:c>
      <x:c r="H48" s="21"/>
      <x:c r="J48" s="22" t="n">
        <x:f t="shared" ref="J48:P48" si="59">J47+B48</x:f>
        <x:v>925</x:v>
      </x:c>
      <x:c r="K48" s="4">
        <x:f t="shared" si="59"/>
        <x:v>41.5</x:v>
      </x:c>
      <x:c r="L48" s="4">
        <x:f t="shared" si="59"/>
        <x:v>177.5</x:v>
      </x:c>
      <x:c r="M48" s="4">
        <x:f t="shared" si="59"/>
        <x:v>192</x:v>
      </x:c>
      <x:c r="N48" s="4">
        <x:f t="shared" si="59"/>
        <x:v>-189.5</x:v>
      </x:c>
      <x:c r="O48" s="4">
        <x:f t="shared" si="59"/>
        <x:v>-595</x:v>
      </x:c>
      <x:c r="P48" s="21">
        <x:f t="shared" si="59"/>
        <x:v>-12.5</x:v>
      </x:c>
      <x:c r="R48" s="22">
        <x:f t="shared" si="11"/>
        <x:v>1010</x:v>
      </x:c>
      <x:c r="S48" s="21">
        <x:f t="shared" si="4"/>
        <x:v>-310</x:v>
      </x:c>
      <x:c r="T48" s="22">
        <x:f t="shared" si="12"/>
        <x:v>219</x:v>
      </x:c>
      <x:c r="U48" s="21">
        <x:f t="shared" si="5"/>
        <x:v>-207.5</x:v>
      </x:c>
      <x:c r="V48" s="22">
        <x:f t="shared" si="13"/>
        <x:v>757.5</x:v>
      </x:c>
      <x:c r="W48" s="21">
        <x:f t="shared" si="6"/>
        <x:v>-580</x:v>
      </x:c>
      <x:c r="X48" s="22">
        <x:f t="shared" si="14"/>
        <x:v>754.5</x:v>
      </x:c>
      <x:c r="Y48" s="21">
        <x:f t="shared" si="7"/>
        <x:v>-532.5</x:v>
      </x:c>
      <x:c r="Z48" s="22">
        <x:f t="shared" si="15"/>
        <x:v>238</x:v>
      </x:c>
      <x:c r="AA48" s="21">
        <x:f t="shared" si="8"/>
        <x:v>-452.5</x:v>
      </x:c>
      <x:c r="AB48" s="22">
        <x:f t="shared" si="16"/>
        <x:v>0</x:v>
      </x:c>
      <x:c r="AC48" s="21">
        <x:f t="shared" si="9"/>
        <x:v>-595</x:v>
      </x:c>
      <x:c r="AD48" s="22">
        <x:f t="shared" si="17"/>
        <x:v>237.5</x:v>
      </x:c>
      <x:c r="AE48" s="21">
        <x:f t="shared" si="18"/>
        <x:v>-237.5</x:v>
      </x:c>
      <x:c r="AG48" s="22" t="n">
        <x:f>if('分析'!C$17,J48,na)</x:f>
        <x:v>925</x:v>
      </x:c>
      <x:c r="AH48" s="4" t="n">
        <x:f>if('分析'!D$17,K48,na)</x:f>
        <x:v>41.5</x:v>
      </x:c>
      <x:c r="AI48" s="4" t="n">
        <x:f>if('分析'!E$17,L48,na)</x:f>
        <x:v>177.5</x:v>
      </x:c>
      <x:c r="AJ48" s="4" t="n">
        <x:f>if('分析'!F$17,M48,na)</x:f>
        <x:v>192</x:v>
      </x:c>
      <x:c r="AK48" s="4" t="n">
        <x:f>if('分析'!G$17,N48,na)</x:f>
        <x:v>-189.5</x:v>
      </x:c>
      <x:c r="AL48" s="4" t="n">
        <x:f>if('分析'!H$17,O48,na)</x:f>
        <x:v>-595</x:v>
      </x:c>
      <x:c r="AM48" s="21" t="n">
        <x:f>if('分析'!I$17,P48,na)</x:f>
        <x:v>-12.5</x:v>
      </x:c>
    </x:row>
    <x:row r="49">
      <x:c r="B49" s="20">
        <x:v>-40.0</x:v>
      </x:c>
      <x:c r="C49" s="1">
        <x:v>-140.0</x:v>
      </x:c>
      <x:c r="E49" s="1">
        <x:v>150.0</x:v>
      </x:c>
      <x:c r="F49" s="1">
        <x:v>-55.0</x:v>
      </x:c>
      <x:c r="H49" s="21"/>
      <x:c r="J49" s="22" t="n">
        <x:f t="shared" ref="J49:P49" si="60">J48+B49</x:f>
        <x:v>885</x:v>
      </x:c>
      <x:c r="K49" s="4">
        <x:f t="shared" si="60"/>
        <x:v>-98.5</x:v>
      </x:c>
      <x:c r="L49" s="4">
        <x:f t="shared" si="60"/>
        <x:v>177.5</x:v>
      </x:c>
      <x:c r="M49" s="4">
        <x:f t="shared" si="60"/>
        <x:v>342</x:v>
      </x:c>
      <x:c r="N49" s="4">
        <x:f t="shared" si="60"/>
        <x:v>-244.5</x:v>
      </x:c>
      <x:c r="O49" s="4">
        <x:f t="shared" si="60"/>
        <x:v>-595</x:v>
      </x:c>
      <x:c r="P49" s="21">
        <x:f t="shared" si="60"/>
        <x:v>-12.5</x:v>
      </x:c>
      <x:c r="R49" s="22">
        <x:f t="shared" si="11"/>
        <x:v>1010</x:v>
      </x:c>
      <x:c r="S49" s="21">
        <x:f t="shared" si="4"/>
        <x:v>-85</x:v>
      </x:c>
      <x:c r="T49" s="22">
        <x:f t="shared" si="12"/>
        <x:v>219</x:v>
      </x:c>
      <x:c r="U49" s="21">
        <x:f t="shared" si="5"/>
        <x:v>-177.5</x:v>
      </x:c>
      <x:c r="V49" s="22">
        <x:f t="shared" si="13"/>
        <x:v>757.5</x:v>
      </x:c>
      <x:c r="W49" s="21">
        <x:f t="shared" si="6"/>
        <x:v>-580</x:v>
      </x:c>
      <x:c r="X49" s="22">
        <x:f t="shared" si="14"/>
        <x:v>754.5</x:v>
      </x:c>
      <x:c r="Y49" s="21">
        <x:f t="shared" si="7"/>
        <x:v>-562.5</x:v>
      </x:c>
      <x:c r="Z49" s="22">
        <x:f t="shared" si="15"/>
        <x:v>238</x:v>
      </x:c>
      <x:c r="AA49" s="21">
        <x:f t="shared" si="8"/>
        <x:v>-427.5</x:v>
      </x:c>
      <x:c r="AB49" s="22">
        <x:f t="shared" si="16"/>
        <x:v>0</x:v>
      </x:c>
      <x:c r="AC49" s="21">
        <x:f t="shared" si="9"/>
        <x:v>-595</x:v>
      </x:c>
      <x:c r="AD49" s="22">
        <x:f t="shared" si="17"/>
        <x:v>237.5</x:v>
      </x:c>
      <x:c r="AE49" s="21">
        <x:f t="shared" si="18"/>
        <x:v>-237.5</x:v>
      </x:c>
      <x:c r="AG49" s="22" t="n">
        <x:f>if('分析'!C$17,J49,na)</x:f>
        <x:v>885</x:v>
      </x:c>
      <x:c r="AH49" s="4" t="n">
        <x:f>if('分析'!D$17,K49,na)</x:f>
        <x:v>-98.5</x:v>
      </x:c>
      <x:c r="AI49" s="4" t="n">
        <x:f>if('分析'!E$17,L49,na)</x:f>
        <x:v>177.5</x:v>
      </x:c>
      <x:c r="AJ49" s="4" t="n">
        <x:f>if('分析'!F$17,M49,na)</x:f>
        <x:v>342</x:v>
      </x:c>
      <x:c r="AK49" s="4" t="n">
        <x:f>if('分析'!G$17,N49,na)</x:f>
        <x:v>-244.5</x:v>
      </x:c>
      <x:c r="AL49" s="4" t="n">
        <x:f>if('分析'!H$17,O49,na)</x:f>
        <x:v>-595</x:v>
      </x:c>
      <x:c r="AM49" s="21" t="n">
        <x:f>if('分析'!I$17,P49,na)</x:f>
        <x:v>-12.5</x:v>
      </x:c>
    </x:row>
    <x:row r="50">
      <x:c r="B50" s="20">
        <x:v>-100.0</x:v>
      </x:c>
      <x:c r="C50" s="1">
        <x:v>100.0</x:v>
      </x:c>
      <x:c r="H50" s="21"/>
      <x:c r="J50" s="22" t="n">
        <x:f t="shared" ref="J50:P50" si="61">J49+B50</x:f>
        <x:v>785</x:v>
      </x:c>
      <x:c r="K50" s="4">
        <x:f t="shared" si="61"/>
        <x:v>1.5</x:v>
      </x:c>
      <x:c r="L50" s="4">
        <x:f t="shared" si="61"/>
        <x:v>177.5</x:v>
      </x:c>
      <x:c r="M50" s="4">
        <x:f t="shared" si="61"/>
        <x:v>342</x:v>
      </x:c>
      <x:c r="N50" s="4">
        <x:f t="shared" si="61"/>
        <x:v>-244.5</x:v>
      </x:c>
      <x:c r="O50" s="4">
        <x:f t="shared" si="61"/>
        <x:v>-595</x:v>
      </x:c>
      <x:c r="P50" s="21">
        <x:f t="shared" si="61"/>
        <x:v>-12.5</x:v>
      </x:c>
      <x:c r="R50" s="22">
        <x:f t="shared" si="11"/>
        <x:v>1010</x:v>
      </x:c>
      <x:c r="S50" s="21">
        <x:f t="shared" si="4"/>
        <x:v>-125</x:v>
      </x:c>
      <x:c r="T50" s="22">
        <x:f t="shared" si="12"/>
        <x:v>219</x:v>
      </x:c>
      <x:c r="U50" s="21">
        <x:f t="shared" si="5"/>
        <x:v>-317.5</x:v>
      </x:c>
      <x:c r="V50" s="22">
        <x:f t="shared" si="13"/>
        <x:v>757.5</x:v>
      </x:c>
      <x:c r="W50" s="21">
        <x:f t="shared" si="6"/>
        <x:v>-580</x:v>
      </x:c>
      <x:c r="X50" s="22">
        <x:f t="shared" si="14"/>
        <x:v>754.5</x:v>
      </x:c>
      <x:c r="Y50" s="21">
        <x:f t="shared" si="7"/>
        <x:v>-412.5</x:v>
      </x:c>
      <x:c r="Z50" s="22">
        <x:f t="shared" si="15"/>
        <x:v>238</x:v>
      </x:c>
      <x:c r="AA50" s="21">
        <x:f t="shared" si="8"/>
        <x:v>-482.5</x:v>
      </x:c>
      <x:c r="AB50" s="22">
        <x:f t="shared" si="16"/>
        <x:v>0</x:v>
      </x:c>
      <x:c r="AC50" s="21">
        <x:f t="shared" si="9"/>
        <x:v>-595</x:v>
      </x:c>
      <x:c r="AD50" s="22">
        <x:f t="shared" si="17"/>
        <x:v>237.5</x:v>
      </x:c>
      <x:c r="AE50" s="21">
        <x:f t="shared" si="18"/>
        <x:v>-237.5</x:v>
      </x:c>
      <x:c r="AG50" s="22" t="n">
        <x:f>if('分析'!C$17,J50,na)</x:f>
        <x:v>785</x:v>
      </x:c>
      <x:c r="AH50" s="4" t="n">
        <x:f>if('分析'!D$17,K50,na)</x:f>
        <x:v>1.5</x:v>
      </x:c>
      <x:c r="AI50" s="4" t="n">
        <x:f>if('分析'!E$17,L50,na)</x:f>
        <x:v>177.5</x:v>
      </x:c>
      <x:c r="AJ50" s="4" t="n">
        <x:f>if('分析'!F$17,M50,na)</x:f>
        <x:v>342</x:v>
      </x:c>
      <x:c r="AK50" s="4" t="n">
        <x:f>if('分析'!G$17,N50,na)</x:f>
        <x:v>-244.5</x:v>
      </x:c>
      <x:c r="AL50" s="4" t="n">
        <x:f>if('分析'!H$17,O50,na)</x:f>
        <x:v>-595</x:v>
      </x:c>
      <x:c r="AM50" s="21" t="n">
        <x:f>if('分析'!I$17,P50,na)</x:f>
        <x:v>-12.5</x:v>
      </x:c>
    </x:row>
    <x:row r="51">
      <x:c r="B51" s="20">
        <x:v>200.0</x:v>
      </x:c>
      <x:c r="C51" s="1">
        <x:v>-52.5</x:v>
      </x:c>
      <x:c r="D51" s="1">
        <x:v>75.0</x:v>
      </x:c>
      <x:c r="E51" s="1">
        <x:v>-250.0</x:v>
      </x:c>
      <x:c r="H51" s="21"/>
      <x:c r="J51" s="22" t="n">
        <x:f t="shared" ref="J51:P51" si="62">J50+B51</x:f>
        <x:v>985</x:v>
      </x:c>
      <x:c r="K51" s="4">
        <x:f t="shared" si="62"/>
        <x:v>-51</x:v>
      </x:c>
      <x:c r="L51" s="4">
        <x:f t="shared" si="62"/>
        <x:v>252.5</x:v>
      </x:c>
      <x:c r="M51" s="4">
        <x:f t="shared" si="62"/>
        <x:v>92</x:v>
      </x:c>
      <x:c r="N51" s="4">
        <x:f t="shared" si="62"/>
        <x:v>-244.5</x:v>
      </x:c>
      <x:c r="O51" s="4">
        <x:f t="shared" si="62"/>
        <x:v>-595</x:v>
      </x:c>
      <x:c r="P51" s="21">
        <x:f t="shared" si="62"/>
        <x:v>-12.5</x:v>
      </x:c>
      <x:c r="R51" s="22">
        <x:f t="shared" si="11"/>
        <x:v>1010</x:v>
      </x:c>
      <x:c r="S51" s="21">
        <x:f t="shared" si="4"/>
        <x:v>-225</x:v>
      </x:c>
      <x:c r="T51" s="22">
        <x:f t="shared" si="12"/>
        <x:v>219</x:v>
      </x:c>
      <x:c r="U51" s="21">
        <x:f t="shared" si="5"/>
        <x:v>-217.5</x:v>
      </x:c>
      <x:c r="V51" s="22">
        <x:f t="shared" si="13"/>
        <x:v>757.5</x:v>
      </x:c>
      <x:c r="W51" s="21">
        <x:f t="shared" si="6"/>
        <x:v>-580</x:v>
      </x:c>
      <x:c r="X51" s="22">
        <x:f t="shared" si="14"/>
        <x:v>754.5</x:v>
      </x:c>
      <x:c r="Y51" s="21">
        <x:f t="shared" si="7"/>
        <x:v>-412.5</x:v>
      </x:c>
      <x:c r="Z51" s="22">
        <x:f t="shared" si="15"/>
        <x:v>238</x:v>
      </x:c>
      <x:c r="AA51" s="21">
        <x:f t="shared" si="8"/>
        <x:v>-482.5</x:v>
      </x:c>
      <x:c r="AB51" s="22">
        <x:f t="shared" si="16"/>
        <x:v>0</x:v>
      </x:c>
      <x:c r="AC51" s="21">
        <x:f t="shared" si="9"/>
        <x:v>-595</x:v>
      </x:c>
      <x:c r="AD51" s="22">
        <x:f t="shared" si="17"/>
        <x:v>237.5</x:v>
      </x:c>
      <x:c r="AE51" s="21">
        <x:f t="shared" si="18"/>
        <x:v>-237.5</x:v>
      </x:c>
      <x:c r="AG51" s="22" t="n">
        <x:f>if('分析'!C$17,J51,na)</x:f>
        <x:v>985</x:v>
      </x:c>
      <x:c r="AH51" s="4" t="n">
        <x:f>if('分析'!D$17,K51,na)</x:f>
        <x:v>-51</x:v>
      </x:c>
      <x:c r="AI51" s="4" t="n">
        <x:f>if('分析'!E$17,L51,na)</x:f>
        <x:v>252.5</x:v>
      </x:c>
      <x:c r="AJ51" s="4" t="n">
        <x:f>if('分析'!F$17,M51,na)</x:f>
        <x:v>92</x:v>
      </x:c>
      <x:c r="AK51" s="4" t="n">
        <x:f>if('分析'!G$17,N51,na)</x:f>
        <x:v>-244.5</x:v>
      </x:c>
      <x:c r="AL51" s="4" t="n">
        <x:f>if('分析'!H$17,O51,na)</x:f>
        <x:v>-595</x:v>
      </x:c>
      <x:c r="AM51" s="21" t="n">
        <x:f>if('分析'!I$17,P51,na)</x:f>
        <x:v>-12.5</x:v>
      </x:c>
    </x:row>
    <x:row r="52">
      <x:c r="B52" s="20">
        <x:v>-250.0</x:v>
      </x:c>
      <x:c r="C52" s="1">
        <x:v>-227.5</x:v>
      </x:c>
      <x:c r="D52" s="1">
        <x:v>25.0</x:v>
      </x:c>
      <x:c r="E52" s="1">
        <x:v>360.5</x:v>
      </x:c>
      <x:c r="H52" s="21"/>
      <x:c r="J52" s="22" t="n">
        <x:f t="shared" ref="J52:P52" si="63">J51+B52</x:f>
        <x:v>735</x:v>
      </x:c>
      <x:c r="K52" s="4">
        <x:f t="shared" si="63"/>
        <x:v>-278.5</x:v>
      </x:c>
      <x:c r="L52" s="4">
        <x:f t="shared" si="63"/>
        <x:v>277.5</x:v>
      </x:c>
      <x:c r="M52" s="4">
        <x:f t="shared" si="63"/>
        <x:v>452.5</x:v>
      </x:c>
      <x:c r="N52" s="4">
        <x:f t="shared" si="63"/>
        <x:v>-244.5</x:v>
      </x:c>
      <x:c r="O52" s="4">
        <x:f t="shared" si="63"/>
        <x:v>-595</x:v>
      </x:c>
      <x:c r="P52" s="21">
        <x:f t="shared" si="63"/>
        <x:v>-12.5</x:v>
      </x:c>
      <x:c r="R52" s="22">
        <x:f t="shared" si="11"/>
        <x:v>1010</x:v>
      </x:c>
      <x:c r="S52" s="21">
        <x:f t="shared" si="4"/>
        <x:v>-25</x:v>
      </x:c>
      <x:c r="T52" s="22">
        <x:f t="shared" si="12"/>
        <x:v>219</x:v>
      </x:c>
      <x:c r="U52" s="21">
        <x:f t="shared" si="5"/>
        <x:v>-270</x:v>
      </x:c>
      <x:c r="V52" s="22">
        <x:f t="shared" si="13"/>
        <x:v>757.5</x:v>
      </x:c>
      <x:c r="W52" s="21">
        <x:f t="shared" si="6"/>
        <x:v>-505</x:v>
      </x:c>
      <x:c r="X52" s="22">
        <x:f t="shared" si="14"/>
        <x:v>754.5</x:v>
      </x:c>
      <x:c r="Y52" s="21">
        <x:f t="shared" si="7"/>
        <x:v>-662.5</x:v>
      </x:c>
      <x:c r="Z52" s="22">
        <x:f t="shared" si="15"/>
        <x:v>238</x:v>
      </x:c>
      <x:c r="AA52" s="21">
        <x:f t="shared" si="8"/>
        <x:v>-482.5</x:v>
      </x:c>
      <x:c r="AB52" s="22">
        <x:f t="shared" si="16"/>
        <x:v>0</x:v>
      </x:c>
      <x:c r="AC52" s="21">
        <x:f t="shared" si="9"/>
        <x:v>-595</x:v>
      </x:c>
      <x:c r="AD52" s="22">
        <x:f t="shared" si="17"/>
        <x:v>237.5</x:v>
      </x:c>
      <x:c r="AE52" s="21">
        <x:f t="shared" si="18"/>
        <x:v>-237.5</x:v>
      </x:c>
      <x:c r="AG52" s="22" t="n">
        <x:f>if('分析'!C$17,J52,na)</x:f>
        <x:v>735</x:v>
      </x:c>
      <x:c r="AH52" s="4" t="n">
        <x:f>if('分析'!D$17,K52,na)</x:f>
        <x:v>-278.5</x:v>
      </x:c>
      <x:c r="AI52" s="4" t="n">
        <x:f>if('分析'!E$17,L52,na)</x:f>
        <x:v>277.5</x:v>
      </x:c>
      <x:c r="AJ52" s="4" t="n">
        <x:f>if('分析'!F$17,M52,na)</x:f>
        <x:v>452.5</x:v>
      </x:c>
      <x:c r="AK52" s="4" t="n">
        <x:f>if('分析'!G$17,N52,na)</x:f>
        <x:v>-244.5</x:v>
      </x:c>
      <x:c r="AL52" s="4" t="n">
        <x:f>if('分析'!H$17,O52,na)</x:f>
        <x:v>-595</x:v>
      </x:c>
      <x:c r="AM52" s="21" t="n">
        <x:f>if('分析'!I$17,P52,na)</x:f>
        <x:v>-12.5</x:v>
      </x:c>
    </x:row>
    <x:row r="53">
      <x:c r="B53" s="22"/>
      <x:c r="D53" s="1">
        <x:v>-58.0</x:v>
      </x:c>
      <x:c r="E53" s="1">
        <x:v>54.0</x:v>
      </x:c>
      <x:c r="H53" s="23">
        <x:v>4.0</x:v>
      </x:c>
      <x:c r="J53" s="22" t="n">
        <x:f t="shared" ref="J53:P53" si="64">J52+B53</x:f>
        <x:v>735</x:v>
      </x:c>
      <x:c r="K53" s="4">
        <x:f t="shared" si="64"/>
        <x:v>-278.5</x:v>
      </x:c>
      <x:c r="L53" s="4">
        <x:f t="shared" si="64"/>
        <x:v>219.5</x:v>
      </x:c>
      <x:c r="M53" s="4">
        <x:f t="shared" si="64"/>
        <x:v>506.5</x:v>
      </x:c>
      <x:c r="N53" s="4">
        <x:f t="shared" si="64"/>
        <x:v>-244.5</x:v>
      </x:c>
      <x:c r="O53" s="4">
        <x:f t="shared" si="64"/>
        <x:v>-595</x:v>
      </x:c>
      <x:c r="P53" s="21">
        <x:f t="shared" si="64"/>
        <x:v>-8.5</x:v>
      </x:c>
      <x:c r="R53" s="22">
        <x:f t="shared" si="11"/>
        <x:v>1010</x:v>
      </x:c>
      <x:c r="S53" s="21">
        <x:f t="shared" si="4"/>
        <x:v>-275</x:v>
      </x:c>
      <x:c r="T53" s="22">
        <x:f t="shared" si="12"/>
        <x:v>219</x:v>
      </x:c>
      <x:c r="U53" s="21">
        <x:f t="shared" si="5"/>
        <x:v>-497.5</x:v>
      </x:c>
      <x:c r="V53" s="22">
        <x:f t="shared" si="13"/>
        <x:v>757.5</x:v>
      </x:c>
      <x:c r="W53" s="21">
        <x:f t="shared" si="6"/>
        <x:v>-480</x:v>
      </x:c>
      <x:c r="X53" s="22">
        <x:f t="shared" si="14"/>
        <x:v>754.5</x:v>
      </x:c>
      <x:c r="Y53" s="21">
        <x:f t="shared" si="7"/>
        <x:v>-302</x:v>
      </x:c>
      <x:c r="Z53" s="22">
        <x:f t="shared" si="15"/>
        <x:v>238</x:v>
      </x:c>
      <x:c r="AA53" s="21">
        <x:f t="shared" si="8"/>
        <x:v>-482.5</x:v>
      </x:c>
      <x:c r="AB53" s="22">
        <x:f t="shared" si="16"/>
        <x:v>0</x:v>
      </x:c>
      <x:c r="AC53" s="21">
        <x:f t="shared" si="9"/>
        <x:v>-595</x:v>
      </x:c>
      <x:c r="AD53" s="22">
        <x:f t="shared" si="17"/>
        <x:v>237.5</x:v>
      </x:c>
      <x:c r="AE53" s="21">
        <x:f t="shared" si="18"/>
        <x:v>-237.5</x:v>
      </x:c>
      <x:c r="AG53" s="22" t="n">
        <x:f>if('分析'!C$17,J53,na)</x:f>
        <x:v>735</x:v>
      </x:c>
      <x:c r="AH53" s="4" t="n">
        <x:f>if('分析'!D$17,K53,na)</x:f>
        <x:v>-278.5</x:v>
      </x:c>
      <x:c r="AI53" s="4" t="n">
        <x:f>if('分析'!E$17,L53,na)</x:f>
        <x:v>219.5</x:v>
      </x:c>
      <x:c r="AJ53" s="4" t="n">
        <x:f>if('分析'!F$17,M53,na)</x:f>
        <x:v>506.5</x:v>
      </x:c>
      <x:c r="AK53" s="4" t="n">
        <x:f>if('分析'!G$17,N53,na)</x:f>
        <x:v>-244.5</x:v>
      </x:c>
      <x:c r="AL53" s="4" t="n">
        <x:f>if('分析'!H$17,O53,na)</x:f>
        <x:v>-595</x:v>
      </x:c>
      <x:c r="AM53" s="21" t="n">
        <x:f>if('分析'!I$17,P53,na)</x:f>
        <x:v>-8.5</x:v>
      </x:c>
    </x:row>
    <x:row r="54">
      <x:c r="B54" s="20">
        <x:v>165.0</x:v>
      </x:c>
      <x:c r="C54" s="1">
        <x:v>5.0</x:v>
      </x:c>
      <x:c r="D54" s="1">
        <x:v>140.0</x:v>
      </x:c>
      <x:c r="E54" s="1">
        <x:v>-55.0</x:v>
      </x:c>
      <x:c r="H54" s="23">
        <x:v>-5.0</x:v>
      </x:c>
      <x:c r="J54" s="22" t="n">
        <x:f t="shared" ref="J54:P54" si="65">J53+B54</x:f>
        <x:v>900</x:v>
      </x:c>
      <x:c r="K54" s="4">
        <x:f t="shared" si="65"/>
        <x:v>-273.5</x:v>
      </x:c>
      <x:c r="L54" s="4">
        <x:f t="shared" si="65"/>
        <x:v>359.5</x:v>
      </x:c>
      <x:c r="M54" s="4">
        <x:f t="shared" si="65"/>
        <x:v>451.5</x:v>
      </x:c>
      <x:c r="N54" s="4">
        <x:f t="shared" si="65"/>
        <x:v>-244.5</x:v>
      </x:c>
      <x:c r="O54" s="4">
        <x:f t="shared" si="65"/>
        <x:v>-595</x:v>
      </x:c>
      <x:c r="P54" s="21">
        <x:f t="shared" si="65"/>
        <x:v>-13.5</x:v>
      </x:c>
      <x:c r="R54" s="22">
        <x:f t="shared" si="11"/>
        <x:v>1010</x:v>
      </x:c>
      <x:c r="S54" s="21">
        <x:f t="shared" si="4"/>
        <x:v>-275</x:v>
      </x:c>
      <x:c r="T54" s="22">
        <x:f t="shared" si="12"/>
        <x:v>219</x:v>
      </x:c>
      <x:c r="U54" s="21">
        <x:f t="shared" si="5"/>
        <x:v>-497.5</x:v>
      </x:c>
      <x:c r="V54" s="22">
        <x:f t="shared" si="13"/>
        <x:v>757.5</x:v>
      </x:c>
      <x:c r="W54" s="21">
        <x:f t="shared" si="6"/>
        <x:v>-538</x:v>
      </x:c>
      <x:c r="X54" s="22">
        <x:f t="shared" si="14"/>
        <x:v>754.5</x:v>
      </x:c>
      <x:c r="Y54" s="21">
        <x:f t="shared" si="7"/>
        <x:v>-248</x:v>
      </x:c>
      <x:c r="Z54" s="22">
        <x:f t="shared" si="15"/>
        <x:v>238</x:v>
      </x:c>
      <x:c r="AA54" s="21">
        <x:f t="shared" si="8"/>
        <x:v>-482.5</x:v>
      </x:c>
      <x:c r="AB54" s="22">
        <x:f t="shared" si="16"/>
        <x:v>0</x:v>
      </x:c>
      <x:c r="AC54" s="21">
        <x:f t="shared" si="9"/>
        <x:v>-595</x:v>
      </x:c>
      <x:c r="AD54" s="22">
        <x:f t="shared" si="17"/>
        <x:v>237.5</x:v>
      </x:c>
      <x:c r="AE54" s="21">
        <x:f t="shared" si="18"/>
        <x:v>-237.5</x:v>
      </x:c>
      <x:c r="AG54" s="22" t="n">
        <x:f>if('分析'!C$17,J54,na)</x:f>
        <x:v>900</x:v>
      </x:c>
      <x:c r="AH54" s="4" t="n">
        <x:f>if('分析'!D$17,K54,na)</x:f>
        <x:v>-273.5</x:v>
      </x:c>
      <x:c r="AI54" s="4" t="n">
        <x:f>if('分析'!E$17,L54,na)</x:f>
        <x:v>359.5</x:v>
      </x:c>
      <x:c r="AJ54" s="4" t="n">
        <x:f>if('分析'!F$17,M54,na)</x:f>
        <x:v>451.5</x:v>
      </x:c>
      <x:c r="AK54" s="4" t="n">
        <x:f>if('分析'!G$17,N54,na)</x:f>
        <x:v>-244.5</x:v>
      </x:c>
      <x:c r="AL54" s="4" t="n">
        <x:f>if('分析'!H$17,O54,na)</x:f>
        <x:v>-595</x:v>
      </x:c>
      <x:c r="AM54" s="21" t="n">
        <x:f>if('分析'!I$17,P54,na)</x:f>
        <x:v>-13.5</x:v>
      </x:c>
    </x:row>
    <x:row r="55">
      <x:c r="B55" s="20">
        <x:v>82.5</x:v>
      </x:c>
      <x:c r="C55" s="1">
        <x:v>157.5</x:v>
      </x:c>
      <x:c r="D55" s="1">
        <x:v>-240.0</x:v>
      </x:c>
      <x:c r="E55" s="1">
        <x:v>67.5</x:v>
      </x:c>
      <x:c r="G55" s="1">
        <x:v>40.0</x:v>
      </x:c>
      <x:c r="H55" s="23">
        <x:v>2.5</x:v>
      </x:c>
      <x:c r="J55" s="22" t="n">
        <x:f t="shared" ref="J55:P55" si="66">J54+B55</x:f>
        <x:v>982.5</x:v>
      </x:c>
      <x:c r="K55" s="4">
        <x:f t="shared" si="66"/>
        <x:v>-116</x:v>
      </x:c>
      <x:c r="L55" s="4">
        <x:f t="shared" si="66"/>
        <x:v>119.5</x:v>
      </x:c>
      <x:c r="M55" s="4">
        <x:f t="shared" si="66"/>
        <x:v>519</x:v>
      </x:c>
      <x:c r="N55" s="4">
        <x:f t="shared" si="66"/>
        <x:v>-244.5</x:v>
      </x:c>
      <x:c r="O55" s="4">
        <x:f t="shared" si="66"/>
        <x:v>-555</x:v>
      </x:c>
      <x:c r="P55" s="21">
        <x:f t="shared" si="66"/>
        <x:v>-11</x:v>
      </x:c>
      <x:c r="R55" s="22">
        <x:f t="shared" si="11"/>
        <x:v>1010</x:v>
      </x:c>
      <x:c r="S55" s="21">
        <x:f t="shared" si="4"/>
        <x:v>-110</x:v>
      </x:c>
      <x:c r="T55" s="22">
        <x:f t="shared" si="12"/>
        <x:v>219</x:v>
      </x:c>
      <x:c r="U55" s="21">
        <x:f t="shared" si="5"/>
        <x:v>-492.5</x:v>
      </x:c>
      <x:c r="V55" s="22">
        <x:f t="shared" si="13"/>
        <x:v>757.5</x:v>
      </x:c>
      <x:c r="W55" s="21">
        <x:f t="shared" si="6"/>
        <x:v>-398</x:v>
      </x:c>
      <x:c r="X55" s="22">
        <x:f t="shared" si="14"/>
        <x:v>754.5</x:v>
      </x:c>
      <x:c r="Y55" s="21">
        <x:f t="shared" si="7"/>
        <x:v>-303</x:v>
      </x:c>
      <x:c r="Z55" s="22">
        <x:f t="shared" si="15"/>
        <x:v>238</x:v>
      </x:c>
      <x:c r="AA55" s="21">
        <x:f t="shared" si="8"/>
        <x:v>-482.5</x:v>
      </x:c>
      <x:c r="AB55" s="22">
        <x:f t="shared" si="16"/>
        <x:v>0</x:v>
      </x:c>
      <x:c r="AC55" s="21">
        <x:f t="shared" si="9"/>
        <x:v>-595</x:v>
      </x:c>
      <x:c r="AD55" s="22">
        <x:f t="shared" si="17"/>
        <x:v>237.5</x:v>
      </x:c>
      <x:c r="AE55" s="21">
        <x:f t="shared" si="18"/>
        <x:v>-237.5</x:v>
      </x:c>
      <x:c r="AG55" s="22" t="n">
        <x:f>if('分析'!C$17,J55,na)</x:f>
        <x:v>982.5</x:v>
      </x:c>
      <x:c r="AH55" s="4" t="n">
        <x:f>if('分析'!D$17,K55,na)</x:f>
        <x:v>-116</x:v>
      </x:c>
      <x:c r="AI55" s="4" t="n">
        <x:f>if('分析'!E$17,L55,na)</x:f>
        <x:v>119.5</x:v>
      </x:c>
      <x:c r="AJ55" s="4" t="n">
        <x:f>if('分析'!F$17,M55,na)</x:f>
        <x:v>519</x:v>
      </x:c>
      <x:c r="AK55" s="4" t="n">
        <x:f>if('分析'!G$17,N55,na)</x:f>
        <x:v>-244.5</x:v>
      </x:c>
      <x:c r="AL55" s="4" t="n">
        <x:f>if('分析'!H$17,O55,na)</x:f>
        <x:v>-555</x:v>
      </x:c>
      <x:c r="AM55" s="21" t="n">
        <x:f>if('分析'!I$17,P55,na)</x:f>
        <x:v>-11</x:v>
      </x:c>
    </x:row>
    <x:row r="56">
      <x:c r="B56" s="20">
        <x:v>102.5</x:v>
      </x:c>
      <x:c r="C56" s="1">
        <x:v>225.0</x:v>
      </x:c>
      <x:c r="D56" s="1">
        <x:v>-20.0</x:v>
      </x:c>
      <x:c r="E56" s="1">
        <x:v>12.5</x:v>
      </x:c>
      <x:c r="G56" s="1">
        <x:v>-250.0</x:v>
      </x:c>
      <x:c r="H56" s="23">
        <x:v>-37.5</x:v>
      </x:c>
      <x:c r="J56" s="22" t="n">
        <x:f t="shared" ref="J56:P56" si="67">J55+B56</x:f>
        <x:v>1085</x:v>
      </x:c>
      <x:c r="K56" s="4">
        <x:f t="shared" si="67"/>
        <x:v>109</x:v>
      </x:c>
      <x:c r="L56" s="4">
        <x:f t="shared" si="67"/>
        <x:v>99.5</x:v>
      </x:c>
      <x:c r="M56" s="4">
        <x:f t="shared" si="67"/>
        <x:v>531.5</x:v>
      </x:c>
      <x:c r="N56" s="4">
        <x:f t="shared" si="67"/>
        <x:v>-244.5</x:v>
      </x:c>
      <x:c r="O56" s="4">
        <x:f t="shared" si="67"/>
        <x:v>-805</x:v>
      </x:c>
      <x:c r="P56" s="21">
        <x:f t="shared" si="67"/>
        <x:v>-48.5</x:v>
      </x:c>
      <x:c r="R56" s="22">
        <x:f t="shared" si="11"/>
        <x:v>1010</x:v>
      </x:c>
      <x:c r="S56" s="21">
        <x:f t="shared" si="4"/>
        <x:v>-27.5</x:v>
      </x:c>
      <x:c r="T56" s="22">
        <x:f t="shared" si="12"/>
        <x:v>219</x:v>
      </x:c>
      <x:c r="U56" s="21">
        <x:f t="shared" si="5"/>
        <x:v>-335</x:v>
      </x:c>
      <x:c r="V56" s="22">
        <x:f t="shared" si="13"/>
        <x:v>757.5</x:v>
      </x:c>
      <x:c r="W56" s="21">
        <x:f t="shared" si="6"/>
        <x:v>-638</x:v>
      </x:c>
      <x:c r="X56" s="22">
        <x:f t="shared" si="14"/>
        <x:v>754.5</x:v>
      </x:c>
      <x:c r="Y56" s="21">
        <x:f t="shared" si="7"/>
        <x:v>-235.5</x:v>
      </x:c>
      <x:c r="Z56" s="22">
        <x:f t="shared" si="15"/>
        <x:v>238</x:v>
      </x:c>
      <x:c r="AA56" s="21">
        <x:f t="shared" si="8"/>
        <x:v>-482.5</x:v>
      </x:c>
      <x:c r="AB56" s="22">
        <x:f t="shared" si="16"/>
        <x:v>0</x:v>
      </x:c>
      <x:c r="AC56" s="21">
        <x:f t="shared" si="9"/>
        <x:v>-555</x:v>
      </x:c>
      <x:c r="AD56" s="22">
        <x:f t="shared" si="17"/>
        <x:v>237.5</x:v>
      </x:c>
      <x:c r="AE56" s="21">
        <x:f t="shared" si="18"/>
        <x:v>-237.5</x:v>
      </x:c>
      <x:c r="AG56" s="22" t="n">
        <x:f>if('分析'!C$17,J56,na)</x:f>
        <x:v>1085</x:v>
      </x:c>
      <x:c r="AH56" s="4" t="n">
        <x:f>if('分析'!D$17,K56,na)</x:f>
        <x:v>109</x:v>
      </x:c>
      <x:c r="AI56" s="4" t="n">
        <x:f>if('分析'!E$17,L56,na)</x:f>
        <x:v>99.5</x:v>
      </x:c>
      <x:c r="AJ56" s="4" t="n">
        <x:f>if('分析'!F$17,M56,na)</x:f>
        <x:v>531.5</x:v>
      </x:c>
      <x:c r="AK56" s="4" t="n">
        <x:f>if('分析'!G$17,N56,na)</x:f>
        <x:v>-244.5</x:v>
      </x:c>
      <x:c r="AL56" s="4" t="n">
        <x:f>if('分析'!H$17,O56,na)</x:f>
        <x:v>-805</x:v>
      </x:c>
      <x:c r="AM56" s="21" t="n">
        <x:f>if('分析'!I$17,P56,na)</x:f>
        <x:v>-48.5</x:v>
      </x:c>
    </x:row>
    <x:row r="57">
      <x:c r="B57" s="20">
        <x:v>210.0</x:v>
      </x:c>
      <x:c r="C57" s="1">
        <x:v>-250.0</x:v>
      </x:c>
      <x:c r="D57" s="1">
        <x:v>-127.5</x:v>
      </x:c>
      <x:c r="E57" s="1">
        <x:v>332.5</x:v>
      </x:c>
      <x:c r="G57" s="1">
        <x:v>-75.0</x:v>
      </x:c>
      <x:c r="H57" s="23">
        <x:v>15.0</x:v>
      </x:c>
      <x:c r="J57" s="22" t="n">
        <x:f t="shared" ref="J57:P57" si="68">J56+B57</x:f>
        <x:v>1295</x:v>
      </x:c>
      <x:c r="K57" s="4">
        <x:f t="shared" si="68"/>
        <x:v>-141</x:v>
      </x:c>
      <x:c r="L57" s="4">
        <x:f t="shared" si="68"/>
        <x:v>-28</x:v>
      </x:c>
      <x:c r="M57" s="4">
        <x:f t="shared" si="68"/>
        <x:v>864</x:v>
      </x:c>
      <x:c r="N57" s="4">
        <x:f t="shared" si="68"/>
        <x:v>-244.5</x:v>
      </x:c>
      <x:c r="O57" s="4">
        <x:f t="shared" si="68"/>
        <x:v>-880</x:v>
      </x:c>
      <x:c r="P57" s="21">
        <x:f t="shared" si="68"/>
        <x:v>-33.5</x:v>
      </x:c>
      <x:c r="R57" s="22">
        <x:f t="shared" si="11"/>
        <x:v>1085</x:v>
      </x:c>
      <x:c r="S57" s="21">
        <x:f t="shared" si="4"/>
        <x:v>0</x:v>
      </x:c>
      <x:c r="T57" s="22">
        <x:f t="shared" si="12"/>
        <x:v>219</x:v>
      </x:c>
      <x:c r="U57" s="21">
        <x:f t="shared" si="5"/>
        <x:v>-110</x:v>
      </x:c>
      <x:c r="V57" s="22">
        <x:f t="shared" si="13"/>
        <x:v>757.5</x:v>
      </x:c>
      <x:c r="W57" s="21">
        <x:f t="shared" si="6"/>
        <x:v>-658</x:v>
      </x:c>
      <x:c r="X57" s="22">
        <x:f t="shared" si="14"/>
        <x:v>754.5</x:v>
      </x:c>
      <x:c r="Y57" s="21">
        <x:f t="shared" si="7"/>
        <x:v>-223</x:v>
      </x:c>
      <x:c r="Z57" s="22">
        <x:f t="shared" si="15"/>
        <x:v>238</x:v>
      </x:c>
      <x:c r="AA57" s="21">
        <x:f t="shared" si="8"/>
        <x:v>-482.5</x:v>
      </x:c>
      <x:c r="AB57" s="22">
        <x:f t="shared" si="16"/>
        <x:v>0</x:v>
      </x:c>
      <x:c r="AC57" s="21">
        <x:f t="shared" si="9"/>
        <x:v>-805</x:v>
      </x:c>
      <x:c r="AD57" s="22">
        <x:f t="shared" si="17"/>
        <x:v>237.5</x:v>
      </x:c>
      <x:c r="AE57" s="21">
        <x:f t="shared" si="18"/>
        <x:v>-237.5</x:v>
      </x:c>
      <x:c r="AG57" s="22" t="n">
        <x:f>if('分析'!C$17,J57,na)</x:f>
        <x:v>1295</x:v>
      </x:c>
      <x:c r="AH57" s="4" t="n">
        <x:f>if('分析'!D$17,K57,na)</x:f>
        <x:v>-141</x:v>
      </x:c>
      <x:c r="AI57" s="4" t="n">
        <x:f>if('分析'!E$17,L57,na)</x:f>
        <x:v>-28</x:v>
      </x:c>
      <x:c r="AJ57" s="4" t="n">
        <x:f>if('分析'!F$17,M57,na)</x:f>
        <x:v>864</x:v>
      </x:c>
      <x:c r="AK57" s="4" t="n">
        <x:f>if('分析'!G$17,N57,na)</x:f>
        <x:v>-244.5</x:v>
      </x:c>
      <x:c r="AL57" s="4" t="n">
        <x:f>if('分析'!H$17,O57,na)</x:f>
        <x:v>-880</x:v>
      </x:c>
      <x:c r="AM57" s="21" t="n">
        <x:f>if('分析'!I$17,P57,na)</x:f>
        <x:v>-33.5</x:v>
      </x:c>
    </x:row>
    <x:row r="58">
      <x:c r="B58" s="20">
        <x:v>122.5</x:v>
      </x:c>
      <x:c r="C58" s="1">
        <x:v>105.0</x:v>
      </x:c>
      <x:c r="D58" s="1">
        <x:v>-250.0</x:v>
      </x:c>
      <x:c r="E58" s="1">
        <x:v>22.5</x:v>
      </x:c>
      <x:c r="H58" s="21"/>
      <x:c r="J58" s="22" t="n">
        <x:f t="shared" ref="J58:P58" si="69">J57+B58</x:f>
        <x:v>1417.5</x:v>
      </x:c>
      <x:c r="K58" s="4">
        <x:f t="shared" si="69"/>
        <x:v>-36</x:v>
      </x:c>
      <x:c r="L58" s="4">
        <x:f t="shared" si="69"/>
        <x:v>-278</x:v>
      </x:c>
      <x:c r="M58" s="4">
        <x:f t="shared" si="69"/>
        <x:v>886.5</x:v>
      </x:c>
      <x:c r="N58" s="4">
        <x:f t="shared" si="69"/>
        <x:v>-244.5</x:v>
      </x:c>
      <x:c r="O58" s="4">
        <x:f t="shared" si="69"/>
        <x:v>-880</x:v>
      </x:c>
      <x:c r="P58" s="21">
        <x:f t="shared" si="69"/>
        <x:v>-33.5</x:v>
      </x:c>
      <x:c r="R58" s="22">
        <x:f t="shared" si="11"/>
        <x:v>1295</x:v>
      </x:c>
      <x:c r="S58" s="21">
        <x:f t="shared" si="4"/>
        <x:v>0</x:v>
      </x:c>
      <x:c r="T58" s="22">
        <x:f t="shared" si="12"/>
        <x:v>219</x:v>
      </x:c>
      <x:c r="U58" s="21">
        <x:f t="shared" si="5"/>
        <x:v>-360</x:v>
      </x:c>
      <x:c r="V58" s="22">
        <x:f t="shared" si="13"/>
        <x:v>757.5</x:v>
      </x:c>
      <x:c r="W58" s="21">
        <x:f t="shared" si="6"/>
        <x:v>-785.5</x:v>
      </x:c>
      <x:c r="X58" s="22">
        <x:f t="shared" si="14"/>
        <x:v>864</x:v>
      </x:c>
      <x:c r="Y58" s="21">
        <x:f t="shared" si="7"/>
        <x:v>0</x:v>
      </x:c>
      <x:c r="Z58" s="22">
        <x:f t="shared" si="15"/>
        <x:v>238</x:v>
      </x:c>
      <x:c r="AA58" s="21">
        <x:f t="shared" si="8"/>
        <x:v>-482.5</x:v>
      </x:c>
      <x:c r="AB58" s="22">
        <x:f t="shared" si="16"/>
        <x:v>0</x:v>
      </x:c>
      <x:c r="AC58" s="21">
        <x:f t="shared" si="9"/>
        <x:v>-880</x:v>
      </x:c>
      <x:c r="AD58" s="22">
        <x:f t="shared" si="17"/>
        <x:v>237.5</x:v>
      </x:c>
      <x:c r="AE58" s="21">
        <x:f t="shared" si="18"/>
        <x:v>-237.5</x:v>
      </x:c>
      <x:c r="AG58" s="22" t="n">
        <x:f>if('分析'!C$17,J58,na)</x:f>
        <x:v>1417.5</x:v>
      </x:c>
      <x:c r="AH58" s="4" t="n">
        <x:f>if('分析'!D$17,K58,na)</x:f>
        <x:v>-36</x:v>
      </x:c>
      <x:c r="AI58" s="4" t="n">
        <x:f>if('分析'!E$17,L58,na)</x:f>
        <x:v>-278</x:v>
      </x:c>
      <x:c r="AJ58" s="4" t="n">
        <x:f>if('分析'!F$17,M58,na)</x:f>
        <x:v>886.5</x:v>
      </x:c>
      <x:c r="AK58" s="4" t="n">
        <x:f>if('分析'!G$17,N58,na)</x:f>
        <x:v>-244.5</x:v>
      </x:c>
      <x:c r="AL58" s="4" t="n">
        <x:f>if('分析'!H$17,O58,na)</x:f>
        <x:v>-880</x:v>
      </x:c>
      <x:c r="AM58" s="21" t="n">
        <x:f>if('分析'!I$17,P58,na)</x:f>
        <x:v>-33.5</x:v>
      </x:c>
    </x:row>
    <x:row r="59">
      <x:c r="B59" s="20">
        <x:v>-250.0</x:v>
      </x:c>
      <x:c r="C59" s="1">
        <x:v>15.0</x:v>
      </x:c>
      <x:c r="E59" s="1">
        <x:v>235.0</x:v>
      </x:c>
      <x:c r="H59" s="21"/>
      <x:c r="J59" s="22" t="n">
        <x:f t="shared" ref="J59:P59" si="70">J58+B59</x:f>
        <x:v>1167.5</x:v>
      </x:c>
      <x:c r="K59" s="4">
        <x:f t="shared" si="70"/>
        <x:v>-21</x:v>
      </x:c>
      <x:c r="L59" s="4">
        <x:f t="shared" si="70"/>
        <x:v>-278</x:v>
      </x:c>
      <x:c r="M59" s="4">
        <x:f t="shared" si="70"/>
        <x:v>1121.5</x:v>
      </x:c>
      <x:c r="N59" s="4">
        <x:f t="shared" si="70"/>
        <x:v>-244.5</x:v>
      </x:c>
      <x:c r="O59" s="4">
        <x:f t="shared" si="70"/>
        <x:v>-880</x:v>
      </x:c>
      <x:c r="P59" s="21">
        <x:f t="shared" si="70"/>
        <x:v>-33.5</x:v>
      </x:c>
      <x:c r="R59" s="22">
        <x:f t="shared" si="11"/>
        <x:v>1417.5</x:v>
      </x:c>
      <x:c r="S59" s="21">
        <x:f t="shared" si="4"/>
        <x:v>0</x:v>
      </x:c>
      <x:c r="T59" s="22">
        <x:f t="shared" si="12"/>
        <x:v>219</x:v>
      </x:c>
      <x:c r="U59" s="21">
        <x:f t="shared" si="5"/>
        <x:v>-255</x:v>
      </x:c>
      <x:c r="V59" s="22">
        <x:f t="shared" si="13"/>
        <x:v>757.5</x:v>
      </x:c>
      <x:c r="W59" s="21">
        <x:f t="shared" si="6"/>
        <x:v>-1035.5</x:v>
      </x:c>
      <x:c r="X59" s="22">
        <x:f t="shared" si="14"/>
        <x:v>886.5</x:v>
      </x:c>
      <x:c r="Y59" s="21">
        <x:f t="shared" si="7"/>
        <x:v>0</x:v>
      </x:c>
      <x:c r="Z59" s="22">
        <x:f t="shared" si="15"/>
        <x:v>238</x:v>
      </x:c>
      <x:c r="AA59" s="21">
        <x:f t="shared" si="8"/>
        <x:v>-482.5</x:v>
      </x:c>
      <x:c r="AB59" s="22">
        <x:f t="shared" si="16"/>
        <x:v>0</x:v>
      </x:c>
      <x:c r="AC59" s="21">
        <x:f t="shared" si="9"/>
        <x:v>-880</x:v>
      </x:c>
      <x:c r="AD59" s="22">
        <x:f t="shared" si="17"/>
        <x:v>237.5</x:v>
      </x:c>
      <x:c r="AE59" s="21">
        <x:f t="shared" si="18"/>
        <x:v>-237.5</x:v>
      </x:c>
      <x:c r="AG59" s="22" t="n">
        <x:f>if('分析'!C$17,J59,na)</x:f>
        <x:v>1167.5</x:v>
      </x:c>
      <x:c r="AH59" s="4" t="n">
        <x:f>if('分析'!D$17,K59,na)</x:f>
        <x:v>-21</x:v>
      </x:c>
      <x:c r="AI59" s="4" t="n">
        <x:f>if('分析'!E$17,L59,na)</x:f>
        <x:v>-278</x:v>
      </x:c>
      <x:c r="AJ59" s="4" t="n">
        <x:f>if('分析'!F$17,M59,na)</x:f>
        <x:v>1121.5</x:v>
      </x:c>
      <x:c r="AK59" s="4" t="n">
        <x:f>if('分析'!G$17,N59,na)</x:f>
        <x:v>-244.5</x:v>
      </x:c>
      <x:c r="AL59" s="4" t="n">
        <x:f>if('分析'!H$17,O59,na)</x:f>
        <x:v>-880</x:v>
      </x:c>
      <x:c r="AM59" s="21" t="n">
        <x:f>if('分析'!I$17,P59,na)</x:f>
        <x:v>-33.5</x:v>
      </x:c>
    </x:row>
    <x:row r="60">
      <x:c r="B60" s="32">
        <x:v>142.5</x:v>
      </x:c>
      <x:c r="C60" s="33">
        <x:v>72.5</x:v>
      </x:c>
      <x:c r="D60" s="33">
        <x:v>-250.0</x:v>
      </x:c>
      <x:c r="E60" s="33">
        <x:v>35.0</x:v>
      </x:c>
      <x:c r="F60" s="34"/>
      <x:c r="G60" s="34"/>
      <x:c r="H60" s="35"/>
      <x:c r="J60" s="36" t="n">
        <x:f t="shared" ref="J60:P60" si="71">J59+B60</x:f>
        <x:v>1310</x:v>
      </x:c>
      <x:c r="K60" s="34">
        <x:f t="shared" si="71"/>
        <x:v>51.5</x:v>
      </x:c>
      <x:c r="L60" s="34">
        <x:f t="shared" si="71"/>
        <x:v>-528</x:v>
      </x:c>
      <x:c r="M60" s="34">
        <x:f t="shared" si="71"/>
        <x:v>1156.5</x:v>
      </x:c>
      <x:c r="N60" s="34">
        <x:f t="shared" si="71"/>
        <x:v>-244.5</x:v>
      </x:c>
      <x:c r="O60" s="34">
        <x:f t="shared" si="71"/>
        <x:v>-880</x:v>
      </x:c>
      <x:c r="P60" s="35">
        <x:f t="shared" si="71"/>
        <x:v>-33.5</x:v>
      </x:c>
      <x:c r="R60" s="36">
        <x:f t="shared" si="11"/>
        <x:v>1417.5</x:v>
      </x:c>
      <x:c r="S60" s="35">
        <x:f t="shared" si="4"/>
        <x:v>-250</x:v>
      </x:c>
      <x:c r="T60" s="36">
        <x:f t="shared" si="12"/>
        <x:v>219</x:v>
      </x:c>
      <x:c r="U60" s="35">
        <x:f t="shared" si="5"/>
        <x:v>-240</x:v>
      </x:c>
      <x:c r="V60" s="36">
        <x:f t="shared" si="13"/>
        <x:v>757.5</x:v>
      </x:c>
      <x:c r="W60" s="35">
        <x:f t="shared" si="6"/>
        <x:v>-1035.5</x:v>
      </x:c>
      <x:c r="X60" s="36">
        <x:f t="shared" si="14"/>
        <x:v>1121.5</x:v>
      </x:c>
      <x:c r="Y60" s="35">
        <x:f t="shared" si="7"/>
        <x:v>0</x:v>
      </x:c>
      <x:c r="Z60" s="36">
        <x:f t="shared" si="15"/>
        <x:v>238</x:v>
      </x:c>
      <x:c r="AA60" s="35">
        <x:f t="shared" si="8"/>
        <x:v>-482.5</x:v>
      </x:c>
      <x:c r="AB60" s="36">
        <x:f t="shared" si="16"/>
        <x:v>0</x:v>
      </x:c>
      <x:c r="AC60" s="35">
        <x:f t="shared" si="9"/>
        <x:v>-880</x:v>
      </x:c>
      <x:c r="AD60" s="36">
        <x:f t="shared" si="17"/>
        <x:v>237.5</x:v>
      </x:c>
      <x:c r="AE60" s="35">
        <x:f t="shared" si="18"/>
        <x:v>-237.5</x:v>
      </x:c>
      <x:c r="AG60" s="36" t="n">
        <x:f>if('分析'!C$17,J60,na)</x:f>
        <x:v>1310</x:v>
      </x:c>
      <x:c r="AH60" s="34" t="n">
        <x:f>if('分析'!D$17,K60,na)</x:f>
        <x:v>51.5</x:v>
      </x:c>
      <x:c r="AI60" s="34" t="n">
        <x:f>if('分析'!E$17,L60,na)</x:f>
        <x:v>-528</x:v>
      </x:c>
      <x:c r="AJ60" s="34" t="n">
        <x:f>if('分析'!F$17,M60,na)</x:f>
        <x:v>1156.5</x:v>
      </x:c>
      <x:c r="AK60" s="34" t="n">
        <x:f>if('分析'!G$17,N60,na)</x:f>
        <x:v>-244.5</x:v>
      </x:c>
      <x:c r="AL60" s="34" t="n">
        <x:f>if('分析'!H$17,O60,na)</x:f>
        <x:v>-880</x:v>
      </x:c>
      <x:c r="AM60" s="35" t="n">
        <x:f>if('分析'!I$17,P60,na)</x:f>
        <x:v>-33.5</x:v>
      </x:c>
    </x:row>
    <x:row r="61">
      <x:c r="AG61" s="4" t="e">
        <x:f>if('分析'!C$17,J61,na)</x:f>
        <x:v>#VALUE!</x:v>
      </x:c>
      <x:c r="AH61" s="4" t="e">
        <x:f>if('分析'!D$17,K61,na)</x:f>
        <x:v>#VALUE!</x:v>
      </x:c>
      <x:c r="AI61" s="4" t="e">
        <x:f>if('分析'!E$17,L61,na)</x:f>
        <x:v>#VALUE!</x:v>
      </x:c>
      <x:c r="AJ61" s="4" t="e">
        <x:f>if('分析'!F$17,M61,na)</x:f>
        <x:v>#VALUE!</x:v>
      </x:c>
      <x:c r="AK61" s="4" t="e">
        <x:f>if('分析'!G$17,N61,na)</x:f>
        <x:v>#VALUE!</x:v>
      </x:c>
      <x:c r="AL61" s="4" t="e">
        <x:f>if('分析'!H$17,O61,na)</x:f>
        <x:v>#VALUE!</x:v>
      </x:c>
      <x:c r="AM61" s="4" t="e">
        <x:f>if('分析'!I$17,P61,na)</x:f>
        <x:v>#VALUE!</x:v>
      </x:c>
    </x:row>
    <x:row r="62">
      <x:c r="AG62" s="4" t="e">
        <x:f>if('分析'!C$17,J62,na)</x:f>
        <x:v>#VALUE!</x:v>
      </x:c>
      <x:c r="AH62" s="4" t="e">
        <x:f>if('分析'!D$17,K62,na)</x:f>
        <x:v>#VALUE!</x:v>
      </x:c>
      <x:c r="AI62" s="4" t="e">
        <x:f>if('分析'!E$17,L62,na)</x:f>
        <x:v>#VALUE!</x:v>
      </x:c>
      <x:c r="AJ62" s="4" t="e">
        <x:f>if('分析'!F$17,M62,na)</x:f>
        <x:v>#VALUE!</x:v>
      </x:c>
      <x:c r="AK62" s="4" t="e">
        <x:f>if('分析'!G$17,N62,na)</x:f>
        <x:v>#VALUE!</x:v>
      </x:c>
      <x:c r="AL62" s="4" t="e">
        <x:f>if('分析'!H$17,O62,na)</x:f>
        <x:v>#VALUE!</x:v>
      </x:c>
      <x:c r="AM62" s="4" t="e">
        <x:f>if('分析'!I$17,P62,na)</x:f>
        <x:v>#VALUE!</x:v>
      </x:c>
    </x:row>
    <x:row r="63">
      <x:c r="AG63" s="4" t="e">
        <x:f>if('分析'!C$17,J63,na)</x:f>
        <x:v>#VALUE!</x:v>
      </x:c>
      <x:c r="AH63" s="4" t="e">
        <x:f>if('分析'!D$17,K63,na)</x:f>
        <x:v>#VALUE!</x:v>
      </x:c>
      <x:c r="AI63" s="4" t="e">
        <x:f>if('分析'!E$17,L63,na)</x:f>
        <x:v>#VALUE!</x:v>
      </x:c>
      <x:c r="AJ63" s="4" t="e">
        <x:f>if('分析'!F$17,M63,na)</x:f>
        <x:v>#VALUE!</x:v>
      </x:c>
      <x:c r="AK63" s="4" t="e">
        <x:f>if('分析'!G$17,N63,na)</x:f>
        <x:v>#VALUE!</x:v>
      </x:c>
      <x:c r="AL63" s="4" t="e">
        <x:f>if('分析'!H$17,O63,na)</x:f>
        <x:v>#VALUE!</x:v>
      </x:c>
      <x:c r="AM63" s="4" t="e">
        <x:f>if('分析'!I$17,P63,na)</x:f>
        <x:v>#VALUE!</x:v>
      </x:c>
    </x:row>
    <x:row r="64">
      <x:c r="AG64" s="4" t="e">
        <x:f>if('分析'!C$17,J64,na)</x:f>
        <x:v>#VALUE!</x:v>
      </x:c>
      <x:c r="AH64" s="4" t="e">
        <x:f>if('分析'!D$17,K64,na)</x:f>
        <x:v>#VALUE!</x:v>
      </x:c>
      <x:c r="AI64" s="4" t="e">
        <x:f>if('分析'!E$17,L64,na)</x:f>
        <x:v>#VALUE!</x:v>
      </x:c>
      <x:c r="AJ64" s="4" t="e">
        <x:f>if('分析'!F$17,M64,na)</x:f>
        <x:v>#VALUE!</x:v>
      </x:c>
      <x:c r="AK64" s="4" t="e">
        <x:f>if('分析'!G$17,N64,na)</x:f>
        <x:v>#VALUE!</x:v>
      </x:c>
      <x:c r="AL64" s="4" t="e">
        <x:f>if('分析'!H$17,O64,na)</x:f>
        <x:v>#VALUE!</x:v>
      </x:c>
      <x:c r="AM64" s="4" t="e">
        <x:f>if('分析'!I$17,P64,na)</x:f>
        <x:v>#VALUE!</x:v>
      </x:c>
    </x:row>
    <x:row r="65">
      <x:c r="AG65" s="4" t="e">
        <x:f>if('分析'!C$17,J65,na)</x:f>
        <x:v>#VALUE!</x:v>
      </x:c>
      <x:c r="AH65" s="4" t="e">
        <x:f>if('分析'!D$17,K65,na)</x:f>
        <x:v>#VALUE!</x:v>
      </x:c>
      <x:c r="AI65" s="4" t="e">
        <x:f>if('分析'!E$17,L65,na)</x:f>
        <x:v>#VALUE!</x:v>
      </x:c>
      <x:c r="AJ65" s="4" t="e">
        <x:f>if('分析'!F$17,M65,na)</x:f>
        <x:v>#VALUE!</x:v>
      </x:c>
      <x:c r="AK65" s="4" t="e">
        <x:f>if('分析'!G$17,N65,na)</x:f>
        <x:v>#VALUE!</x:v>
      </x:c>
      <x:c r="AL65" s="4" t="e">
        <x:f>if('分析'!H$17,O65,na)</x:f>
        <x:v>#VALUE!</x:v>
      </x:c>
      <x:c r="AM65" s="4" t="e">
        <x:f>if('分析'!I$17,P65,na)</x:f>
        <x:v>#VALUE!</x:v>
      </x:c>
    </x:row>
    <x:row r="66">
      <x:c r="AG66" s="4" t="e">
        <x:f>if('分析'!C$17,J66,na)</x:f>
        <x:v>#VALUE!</x:v>
      </x:c>
      <x:c r="AH66" s="4" t="e">
        <x:f>if('分析'!D$17,K66,na)</x:f>
        <x:v>#VALUE!</x:v>
      </x:c>
      <x:c r="AI66" s="4" t="e">
        <x:f>if('分析'!E$17,L66,na)</x:f>
        <x:v>#VALUE!</x:v>
      </x:c>
      <x:c r="AJ66" s="4" t="e">
        <x:f>if('分析'!F$17,M66,na)</x:f>
        <x:v>#VALUE!</x:v>
      </x:c>
      <x:c r="AK66" s="4" t="e">
        <x:f>if('分析'!G$17,N66,na)</x:f>
        <x:v>#VALUE!</x:v>
      </x:c>
      <x:c r="AL66" s="4" t="e">
        <x:f>if('分析'!H$17,O66,na)</x:f>
        <x:v>#VALUE!</x:v>
      </x:c>
      <x:c r="AM66" s="4" t="e">
        <x:f>if('分析'!I$17,P66,na)</x:f>
        <x:v>#VALUE!</x:v>
      </x:c>
    </x:row>
    <x:row r="67">
      <x:c r="AG67" s="4" t="e">
        <x:f>if('分析'!C$17,J67,na)</x:f>
        <x:v>#VALUE!</x:v>
      </x:c>
      <x:c r="AH67" s="4" t="e">
        <x:f>if('分析'!D$17,K67,na)</x:f>
        <x:v>#VALUE!</x:v>
      </x:c>
      <x:c r="AI67" s="4" t="e">
        <x:f>if('分析'!E$17,L67,na)</x:f>
        <x:v>#VALUE!</x:v>
      </x:c>
      <x:c r="AJ67" s="4" t="e">
        <x:f>if('分析'!F$17,M67,na)</x:f>
        <x:v>#VALUE!</x:v>
      </x:c>
      <x:c r="AK67" s="4" t="e">
        <x:f>if('分析'!G$17,N67,na)</x:f>
        <x:v>#VALUE!</x:v>
      </x:c>
      <x:c r="AL67" s="4" t="e">
        <x:f>if('分析'!H$17,O67,na)</x:f>
        <x:v>#VALUE!</x:v>
      </x:c>
      <x:c r="AM67" s="4" t="e">
        <x:f>if('分析'!I$17,P67,na)</x:f>
        <x:v>#VALUE!</x:v>
      </x:c>
    </x:row>
    <x:row r="68">
      <x:c r="AG68" s="4" t="e">
        <x:f>if('分析'!C$17,J68,na)</x:f>
        <x:v>#VALUE!</x:v>
      </x:c>
      <x:c r="AH68" s="4" t="e">
        <x:f>if('分析'!D$17,K68,na)</x:f>
        <x:v>#VALUE!</x:v>
      </x:c>
      <x:c r="AI68" s="4" t="e">
        <x:f>if('分析'!E$17,L68,na)</x:f>
        <x:v>#VALUE!</x:v>
      </x:c>
      <x:c r="AJ68" s="4" t="e">
        <x:f>if('分析'!F$17,M68,na)</x:f>
        <x:v>#VALUE!</x:v>
      </x:c>
      <x:c r="AK68" s="4" t="e">
        <x:f>if('分析'!G$17,N68,na)</x:f>
        <x:v>#VALUE!</x:v>
      </x:c>
      <x:c r="AL68" s="4" t="e">
        <x:f>if('分析'!H$17,O68,na)</x:f>
        <x:v>#VALUE!</x:v>
      </x:c>
      <x:c r="AM68" s="4" t="e">
        <x:f>if('分析'!I$17,P68,na)</x:f>
        <x:v>#VALUE!</x:v>
      </x:c>
    </x:row>
    <x:row r="69">
      <x:c r="AG69" s="4" t="e">
        <x:f>if('分析'!C$17,J69,na)</x:f>
        <x:v>#VALUE!</x:v>
      </x:c>
      <x:c r="AH69" s="4" t="e">
        <x:f>if('分析'!D$17,K69,na)</x:f>
        <x:v>#VALUE!</x:v>
      </x:c>
      <x:c r="AI69" s="4" t="e">
        <x:f>if('分析'!E$17,L69,na)</x:f>
        <x:v>#VALUE!</x:v>
      </x:c>
      <x:c r="AJ69" s="4" t="e">
        <x:f>if('分析'!F$17,M69,na)</x:f>
        <x:v>#VALUE!</x:v>
      </x:c>
      <x:c r="AK69" s="4" t="e">
        <x:f>if('分析'!G$17,N69,na)</x:f>
        <x:v>#VALUE!</x:v>
      </x:c>
      <x:c r="AL69" s="4" t="e">
        <x:f>if('分析'!H$17,O69,na)</x:f>
        <x:v>#VALUE!</x:v>
      </x:c>
      <x:c r="AM69" s="4" t="e">
        <x:f>if('分析'!I$17,P69,na)</x:f>
        <x:v>#VALUE!</x:v>
      </x:c>
    </x:row>
    <x:row r="70">
      <x:c r="AG70" s="4" t="e">
        <x:f>if('分析'!C$17,J70,na)</x:f>
        <x:v>#VALUE!</x:v>
      </x:c>
      <x:c r="AH70" s="4" t="e">
        <x:f>if('分析'!D$17,K70,na)</x:f>
        <x:v>#VALUE!</x:v>
      </x:c>
      <x:c r="AI70" s="4" t="e">
        <x:f>if('分析'!E$17,L70,na)</x:f>
        <x:v>#VALUE!</x:v>
      </x:c>
      <x:c r="AJ70" s="4" t="e">
        <x:f>if('分析'!F$17,M70,na)</x:f>
        <x:v>#VALUE!</x:v>
      </x:c>
      <x:c r="AK70" s="4" t="e">
        <x:f>if('分析'!G$17,N70,na)</x:f>
        <x:v>#VALUE!</x:v>
      </x:c>
      <x:c r="AL70" s="4" t="e">
        <x:f>if('分析'!H$17,O70,na)</x:f>
        <x:v>#VALUE!</x:v>
      </x:c>
      <x:c r="AM70" s="4" t="e">
        <x:f>if('分析'!I$17,P70,na)</x:f>
        <x:v>#VALUE!</x:v>
      </x:c>
    </x:row>
    <x:row r="71">
      <x:c r="AG71" s="4" t="e">
        <x:f>if('分析'!C$17,J71,na)</x:f>
        <x:v>#VALUE!</x:v>
      </x:c>
      <x:c r="AH71" s="4" t="e">
        <x:f>if('分析'!D$17,K71,na)</x:f>
        <x:v>#VALUE!</x:v>
      </x:c>
      <x:c r="AI71" s="4" t="e">
        <x:f>if('分析'!E$17,L71,na)</x:f>
        <x:v>#VALUE!</x:v>
      </x:c>
      <x:c r="AJ71" s="4" t="e">
        <x:f>if('分析'!F$17,M71,na)</x:f>
        <x:v>#VALUE!</x:v>
      </x:c>
      <x:c r="AK71" s="4" t="e">
        <x:f>if('分析'!G$17,N71,na)</x:f>
        <x:v>#VALUE!</x:v>
      </x:c>
      <x:c r="AL71" s="4" t="e">
        <x:f>if('分析'!H$17,O71,na)</x:f>
        <x:v>#VALUE!</x:v>
      </x:c>
      <x:c r="AM71" s="4" t="e">
        <x:f>if('分析'!I$17,P71,na)</x:f>
        <x:v>#VALUE!</x:v>
      </x:c>
    </x:row>
    <x:row r="72">
      <x:c r="AG72" s="4" t="e">
        <x:f>if('分析'!C$17,J72,na)</x:f>
        <x:v>#VALUE!</x:v>
      </x:c>
      <x:c r="AH72" s="4" t="e">
        <x:f>if('分析'!D$17,K72,na)</x:f>
        <x:v>#VALUE!</x:v>
      </x:c>
      <x:c r="AI72" s="4" t="e">
        <x:f>if('分析'!E$17,L72,na)</x:f>
        <x:v>#VALUE!</x:v>
      </x:c>
      <x:c r="AJ72" s="4" t="e">
        <x:f>if('分析'!F$17,M72,na)</x:f>
        <x:v>#VALUE!</x:v>
      </x:c>
      <x:c r="AK72" s="4" t="e">
        <x:f>if('分析'!G$17,N72,na)</x:f>
        <x:v>#VALUE!</x:v>
      </x:c>
      <x:c r="AL72" s="4" t="e">
        <x:f>if('分析'!H$17,O72,na)</x:f>
        <x:v>#VALUE!</x:v>
      </x:c>
      <x:c r="AM72" s="4" t="e">
        <x:f>if('分析'!I$17,P72,na)</x:f>
        <x:v>#VALUE!</x:v>
      </x:c>
    </x:row>
    <x:row r="73">
      <x:c r="AG73" s="4" t="e">
        <x:f>if('分析'!C$17,J73,na)</x:f>
        <x:v>#VALUE!</x:v>
      </x:c>
      <x:c r="AH73" s="4" t="e">
        <x:f>if('分析'!D$17,K73,na)</x:f>
        <x:v>#VALUE!</x:v>
      </x:c>
      <x:c r="AI73" s="4" t="e">
        <x:f>if('分析'!E$17,L73,na)</x:f>
        <x:v>#VALUE!</x:v>
      </x:c>
      <x:c r="AJ73" s="4" t="e">
        <x:f>if('分析'!F$17,M73,na)</x:f>
        <x:v>#VALUE!</x:v>
      </x:c>
      <x:c r="AK73" s="4" t="e">
        <x:f>if('分析'!G$17,N73,na)</x:f>
        <x:v>#VALUE!</x:v>
      </x:c>
      <x:c r="AL73" s="4" t="e">
        <x:f>if('分析'!H$17,O73,na)</x:f>
        <x:v>#VALUE!</x:v>
      </x:c>
      <x:c r="AM73" s="4" t="e">
        <x:f>if('分析'!I$17,P73,na)</x:f>
        <x:v>#VALUE!</x:v>
      </x:c>
    </x:row>
    <x:row r="74">
      <x:c r="AG74" s="4" t="e">
        <x:f>if('分析'!C$17,J74,na)</x:f>
        <x:v>#VALUE!</x:v>
      </x:c>
      <x:c r="AH74" s="4" t="e">
        <x:f>if('分析'!D$17,K74,na)</x:f>
        <x:v>#VALUE!</x:v>
      </x:c>
      <x:c r="AI74" s="4" t="e">
        <x:f>if('分析'!E$17,L74,na)</x:f>
        <x:v>#VALUE!</x:v>
      </x:c>
      <x:c r="AJ74" s="4" t="e">
        <x:f>if('分析'!F$17,M74,na)</x:f>
        <x:v>#VALUE!</x:v>
      </x:c>
      <x:c r="AK74" s="4" t="e">
        <x:f>if('分析'!G$17,N74,na)</x:f>
        <x:v>#VALUE!</x:v>
      </x:c>
      <x:c r="AL74" s="4" t="e">
        <x:f>if('分析'!H$17,O74,na)</x:f>
        <x:v>#VALUE!</x:v>
      </x:c>
      <x:c r="AM74" s="4" t="e">
        <x:f>if('分析'!I$17,P74,na)</x:f>
        <x:v>#VALUE!</x:v>
      </x:c>
    </x:row>
    <x:row r="75">
      <x:c r="AG75" s="4" t="e">
        <x:f>if('分析'!C$17,J75,na)</x:f>
        <x:v>#VALUE!</x:v>
      </x:c>
      <x:c r="AH75" s="4" t="e">
        <x:f>if('分析'!D$17,K75,na)</x:f>
        <x:v>#VALUE!</x:v>
      </x:c>
      <x:c r="AI75" s="4" t="e">
        <x:f>if('分析'!E$17,L75,na)</x:f>
        <x:v>#VALUE!</x:v>
      </x:c>
      <x:c r="AJ75" s="4" t="e">
        <x:f>if('分析'!F$17,M75,na)</x:f>
        <x:v>#VALUE!</x:v>
      </x:c>
      <x:c r="AK75" s="4" t="e">
        <x:f>if('分析'!G$17,N75,na)</x:f>
        <x:v>#VALUE!</x:v>
      </x:c>
      <x:c r="AL75" s="4" t="e">
        <x:f>if('分析'!H$17,O75,na)</x:f>
        <x:v>#VALUE!</x:v>
      </x:c>
      <x:c r="AM75" s="4" t="e">
        <x:f>if('分析'!I$17,P75,na)</x:f>
        <x:v>#VALUE!</x:v>
      </x:c>
    </x:row>
    <x:row r="76">
      <x:c r="AG76" s="4" t="e">
        <x:f>if('分析'!C$17,J76,na)</x:f>
        <x:v>#VALUE!</x:v>
      </x:c>
      <x:c r="AH76" s="4" t="e">
        <x:f>if('分析'!D$17,K76,na)</x:f>
        <x:v>#VALUE!</x:v>
      </x:c>
      <x:c r="AI76" s="4" t="e">
        <x:f>if('分析'!E$17,L76,na)</x:f>
        <x:v>#VALUE!</x:v>
      </x:c>
      <x:c r="AJ76" s="4" t="e">
        <x:f>if('分析'!F$17,M76,na)</x:f>
        <x:v>#VALUE!</x:v>
      </x:c>
      <x:c r="AK76" s="4" t="e">
        <x:f>if('分析'!G$17,N76,na)</x:f>
        <x:v>#VALUE!</x:v>
      </x:c>
      <x:c r="AL76" s="4" t="e">
        <x:f>if('分析'!H$17,O76,na)</x:f>
        <x:v>#VALUE!</x:v>
      </x:c>
      <x:c r="AM76" s="4" t="e">
        <x:f>if('分析'!I$17,P76,na)</x:f>
        <x:v>#VALUE!</x:v>
      </x:c>
    </x:row>
    <x:row r="77">
      <x:c r="AG77" s="4" t="e">
        <x:f>if('分析'!C$17,J77,na)</x:f>
        <x:v>#VALUE!</x:v>
      </x:c>
      <x:c r="AH77" s="4" t="e">
        <x:f>if('分析'!D$17,K77,na)</x:f>
        <x:v>#VALUE!</x:v>
      </x:c>
      <x:c r="AI77" s="4" t="e">
        <x:f>if('分析'!E$17,L77,na)</x:f>
        <x:v>#VALUE!</x:v>
      </x:c>
      <x:c r="AJ77" s="4" t="e">
        <x:f>if('分析'!F$17,M77,na)</x:f>
        <x:v>#VALUE!</x:v>
      </x:c>
      <x:c r="AK77" s="4" t="e">
        <x:f>if('分析'!G$17,N77,na)</x:f>
        <x:v>#VALUE!</x:v>
      </x:c>
      <x:c r="AL77" s="4" t="e">
        <x:f>if('分析'!H$17,O77,na)</x:f>
        <x:v>#VALUE!</x:v>
      </x:c>
      <x:c r="AM77" s="4" t="e">
        <x:f>if('分析'!I$17,P77,na)</x:f>
        <x:v>#VALUE!</x:v>
      </x:c>
    </x:row>
    <x:row r="78">
      <x:c r="AG78" s="4" t="e">
        <x:f>if('分析'!C$17,J78,na)</x:f>
        <x:v>#VALUE!</x:v>
      </x:c>
      <x:c r="AH78" s="4" t="e">
        <x:f>if('分析'!D$17,K78,na)</x:f>
        <x:v>#VALUE!</x:v>
      </x:c>
      <x:c r="AI78" s="4" t="e">
        <x:f>if('分析'!E$17,L78,na)</x:f>
        <x:v>#VALUE!</x:v>
      </x:c>
      <x:c r="AJ78" s="4" t="e">
        <x:f>if('分析'!F$17,M78,na)</x:f>
        <x:v>#VALUE!</x:v>
      </x:c>
      <x:c r="AK78" s="4" t="e">
        <x:f>if('分析'!G$17,N78,na)</x:f>
        <x:v>#VALUE!</x:v>
      </x:c>
      <x:c r="AL78" s="4" t="e">
        <x:f>if('分析'!H$17,O78,na)</x:f>
        <x:v>#VALUE!</x:v>
      </x:c>
      <x:c r="AM78" s="4" t="e">
        <x:f>if('分析'!I$17,P78,na)</x:f>
        <x:v>#VALUE!</x:v>
      </x:c>
    </x:row>
    <x:row r="79">
      <x:c r="AG79" s="4" t="e">
        <x:f>if('分析'!C$17,J79,na)</x:f>
        <x:v>#VALUE!</x:v>
      </x:c>
      <x:c r="AH79" s="4" t="e">
        <x:f>if('分析'!D$17,K79,na)</x:f>
        <x:v>#VALUE!</x:v>
      </x:c>
      <x:c r="AI79" s="4" t="e">
        <x:f>if('分析'!E$17,L79,na)</x:f>
        <x:v>#VALUE!</x:v>
      </x:c>
      <x:c r="AJ79" s="4" t="e">
        <x:f>if('分析'!F$17,M79,na)</x:f>
        <x:v>#VALUE!</x:v>
      </x:c>
      <x:c r="AK79" s="4" t="e">
        <x:f>if('分析'!G$17,N79,na)</x:f>
        <x:v>#VALUE!</x:v>
      </x:c>
      <x:c r="AL79" s="4" t="e">
        <x:f>if('分析'!H$17,O79,na)</x:f>
        <x:v>#VALUE!</x:v>
      </x:c>
      <x:c r="AM79" s="4" t="e">
        <x:f>if('分析'!I$17,P79,na)</x:f>
        <x:v>#VALUE!</x:v>
      </x:c>
    </x:row>
    <x:row r="80">
      <x:c r="AG80" s="4" t="e">
        <x:f>if('分析'!C$17,J80,na)</x:f>
        <x:v>#VALUE!</x:v>
      </x:c>
      <x:c r="AH80" s="4" t="e">
        <x:f>if('分析'!D$17,K80,na)</x:f>
        <x:v>#VALUE!</x:v>
      </x:c>
      <x:c r="AI80" s="4" t="e">
        <x:f>if('分析'!E$17,L80,na)</x:f>
        <x:v>#VALUE!</x:v>
      </x:c>
      <x:c r="AJ80" s="4" t="e">
        <x:f>if('分析'!F$17,M80,na)</x:f>
        <x:v>#VALUE!</x:v>
      </x:c>
      <x:c r="AK80" s="4" t="e">
        <x:f>if('分析'!G$17,N80,na)</x:f>
        <x:v>#VALUE!</x:v>
      </x:c>
      <x:c r="AL80" s="4" t="e">
        <x:f>if('分析'!H$17,O80,na)</x:f>
        <x:v>#VALUE!</x:v>
      </x:c>
      <x:c r="AM80" s="4" t="e">
        <x:f>if('分析'!I$17,P80,na)</x:f>
        <x:v>#VALUE!</x:v>
      </x:c>
    </x:row>
    <x:row r="81">
      <x:c r="AG81" s="4" t="e">
        <x:f>if('分析'!C$17,J81,na)</x:f>
        <x:v>#VALUE!</x:v>
      </x:c>
      <x:c r="AH81" s="4" t="e">
        <x:f>if('分析'!D$17,K81,na)</x:f>
        <x:v>#VALUE!</x:v>
      </x:c>
      <x:c r="AI81" s="4" t="e">
        <x:f>if('分析'!E$17,L81,na)</x:f>
        <x:v>#VALUE!</x:v>
      </x:c>
      <x:c r="AJ81" s="4" t="e">
        <x:f>if('分析'!F$17,M81,na)</x:f>
        <x:v>#VALUE!</x:v>
      </x:c>
      <x:c r="AK81" s="4" t="e">
        <x:f>if('分析'!G$17,N81,na)</x:f>
        <x:v>#VALUE!</x:v>
      </x:c>
      <x:c r="AL81" s="4" t="e">
        <x:f>if('分析'!H$17,O81,na)</x:f>
        <x:v>#VALUE!</x:v>
      </x:c>
      <x:c r="AM81" s="4" t="e">
        <x:f>if('分析'!I$17,P81,na)</x:f>
        <x:v>#VALUE!</x:v>
      </x:c>
    </x:row>
    <x:row r="82">
      <x:c r="AG82" s="4" t="e">
        <x:f>if('分析'!C$17,J82,na)</x:f>
        <x:v>#VALUE!</x:v>
      </x:c>
      <x:c r="AH82" s="4" t="e">
        <x:f>if('分析'!D$17,K82,na)</x:f>
        <x:v>#VALUE!</x:v>
      </x:c>
      <x:c r="AI82" s="4" t="e">
        <x:f>if('分析'!E$17,L82,na)</x:f>
        <x:v>#VALUE!</x:v>
      </x:c>
      <x:c r="AJ82" s="4" t="e">
        <x:f>if('分析'!F$17,M82,na)</x:f>
        <x:v>#VALUE!</x:v>
      </x:c>
      <x:c r="AK82" s="4" t="e">
        <x:f>if('分析'!G$17,N82,na)</x:f>
        <x:v>#VALUE!</x:v>
      </x:c>
      <x:c r="AL82" s="4" t="e">
        <x:f>if('分析'!H$17,O82,na)</x:f>
        <x:v>#VALUE!</x:v>
      </x:c>
      <x:c r="AM82" s="4" t="e">
        <x:f>if('分析'!I$17,P82,na)</x:f>
        <x:v>#VALUE!</x:v>
      </x:c>
    </x:row>
    <x:row r="83">
      <x:c r="AG83" s="4" t="e">
        <x:f>if('分析'!C$17,J83,na)</x:f>
        <x:v>#VALUE!</x:v>
      </x:c>
      <x:c r="AH83" s="4" t="e">
        <x:f>if('分析'!D$17,K83,na)</x:f>
        <x:v>#VALUE!</x:v>
      </x:c>
      <x:c r="AI83" s="4" t="e">
        <x:f>if('分析'!E$17,L83,na)</x:f>
        <x:v>#VALUE!</x:v>
      </x:c>
      <x:c r="AJ83" s="4" t="e">
        <x:f>if('分析'!F$17,M83,na)</x:f>
        <x:v>#VALUE!</x:v>
      </x:c>
      <x:c r="AK83" s="4" t="e">
        <x:f>if('分析'!G$17,N83,na)</x:f>
        <x:v>#VALUE!</x:v>
      </x:c>
      <x:c r="AL83" s="4" t="e">
        <x:f>if('分析'!H$17,O83,na)</x:f>
        <x:v>#VALUE!</x:v>
      </x:c>
      <x:c r="AM83" s="4" t="e">
        <x:f>if('分析'!I$17,P83,na)</x:f>
        <x:v>#VALUE!</x:v>
      </x:c>
    </x:row>
    <x:row r="84">
      <x:c r="AG84" s="4" t="e">
        <x:f>if('分析'!C$17,J84,na)</x:f>
        <x:v>#VALUE!</x:v>
      </x:c>
      <x:c r="AH84" s="4" t="e">
        <x:f>if('分析'!D$17,K84,na)</x:f>
        <x:v>#VALUE!</x:v>
      </x:c>
      <x:c r="AI84" s="4" t="e">
        <x:f>if('分析'!E$17,L84,na)</x:f>
        <x:v>#VALUE!</x:v>
      </x:c>
      <x:c r="AJ84" s="4" t="e">
        <x:f>if('分析'!F$17,M84,na)</x:f>
        <x:v>#VALUE!</x:v>
      </x:c>
      <x:c r="AK84" s="4" t="e">
        <x:f>if('分析'!G$17,N84,na)</x:f>
        <x:v>#VALUE!</x:v>
      </x:c>
      <x:c r="AL84" s="4" t="e">
        <x:f>if('分析'!H$17,O84,na)</x:f>
        <x:v>#VALUE!</x:v>
      </x:c>
      <x:c r="AM84" s="4" t="e">
        <x:f>if('分析'!I$17,P84,na)</x:f>
        <x:v>#VALUE!</x:v>
      </x:c>
    </x:row>
    <x:row r="85">
      <x:c r="AG85" s="4" t="e">
        <x:f>if('分析'!C$17,J85,na)</x:f>
        <x:v>#VALUE!</x:v>
      </x:c>
      <x:c r="AH85" s="4" t="e">
        <x:f>if('分析'!D$17,K85,na)</x:f>
        <x:v>#VALUE!</x:v>
      </x:c>
      <x:c r="AI85" s="4" t="e">
        <x:f>if('分析'!E$17,L85,na)</x:f>
        <x:v>#VALUE!</x:v>
      </x:c>
      <x:c r="AJ85" s="4" t="e">
        <x:f>if('分析'!F$17,M85,na)</x:f>
        <x:v>#VALUE!</x:v>
      </x:c>
      <x:c r="AK85" s="4" t="e">
        <x:f>if('分析'!G$17,N85,na)</x:f>
        <x:v>#VALUE!</x:v>
      </x:c>
      <x:c r="AL85" s="4" t="e">
        <x:f>if('分析'!H$17,O85,na)</x:f>
        <x:v>#VALUE!</x:v>
      </x:c>
      <x:c r="AM85" s="4" t="e">
        <x:f>if('分析'!I$17,P85,na)</x:f>
        <x:v>#VALUE!</x:v>
      </x:c>
    </x:row>
    <x:row r="86">
      <x:c r="AG86" s="4" t="e">
        <x:f>if('分析'!C$17,J86,na)</x:f>
        <x:v>#VALUE!</x:v>
      </x:c>
      <x:c r="AH86" s="4" t="e">
        <x:f>if('分析'!D$17,K86,na)</x:f>
        <x:v>#VALUE!</x:v>
      </x:c>
      <x:c r="AI86" s="4" t="e">
        <x:f>if('分析'!E$17,L86,na)</x:f>
        <x:v>#VALUE!</x:v>
      </x:c>
      <x:c r="AJ86" s="4" t="e">
        <x:f>if('分析'!F$17,M86,na)</x:f>
        <x:v>#VALUE!</x:v>
      </x:c>
      <x:c r="AK86" s="4" t="e">
        <x:f>if('分析'!G$17,N86,na)</x:f>
        <x:v>#VALUE!</x:v>
      </x:c>
      <x:c r="AL86" s="4" t="e">
        <x:f>if('分析'!H$17,O86,na)</x:f>
        <x:v>#VALUE!</x:v>
      </x:c>
      <x:c r="AM86" s="4" t="e">
        <x:f>if('分析'!I$17,P86,na)</x:f>
        <x:v>#VALUE!</x:v>
      </x:c>
    </x:row>
    <x:row r="87">
      <x:c r="AG87" s="4" t="e">
        <x:f>if('分析'!C$17,J87,na)</x:f>
        <x:v>#VALUE!</x:v>
      </x:c>
      <x:c r="AH87" s="4" t="e">
        <x:f>if('分析'!D$17,K87,na)</x:f>
        <x:v>#VALUE!</x:v>
      </x:c>
      <x:c r="AI87" s="4" t="e">
        <x:f>if('分析'!E$17,L87,na)</x:f>
        <x:v>#VALUE!</x:v>
      </x:c>
      <x:c r="AJ87" s="4" t="e">
        <x:f>if('分析'!F$17,M87,na)</x:f>
        <x:v>#VALUE!</x:v>
      </x:c>
      <x:c r="AK87" s="4" t="e">
        <x:f>if('分析'!G$17,N87,na)</x:f>
        <x:v>#VALUE!</x:v>
      </x:c>
      <x:c r="AL87" s="4" t="e">
        <x:f>if('分析'!H$17,O87,na)</x:f>
        <x:v>#VALUE!</x:v>
      </x:c>
      <x:c r="AM87" s="4" t="e">
        <x:f>if('分析'!I$17,P87,na)</x:f>
        <x:v>#VALUE!</x:v>
      </x:c>
    </x:row>
    <x:row r="88">
      <x:c r="AG88" s="4" t="e">
        <x:f>if('分析'!C$17,J88,na)</x:f>
        <x:v>#VALUE!</x:v>
      </x:c>
      <x:c r="AH88" s="4" t="e">
        <x:f>if('分析'!D$17,K88,na)</x:f>
        <x:v>#VALUE!</x:v>
      </x:c>
      <x:c r="AI88" s="4" t="e">
        <x:f>if('分析'!E$17,L88,na)</x:f>
        <x:v>#VALUE!</x:v>
      </x:c>
      <x:c r="AJ88" s="4" t="e">
        <x:f>if('分析'!F$17,M88,na)</x:f>
        <x:v>#VALUE!</x:v>
      </x:c>
      <x:c r="AK88" s="4" t="e">
        <x:f>if('分析'!G$17,N88,na)</x:f>
        <x:v>#VALUE!</x:v>
      </x:c>
      <x:c r="AL88" s="4" t="e">
        <x:f>if('分析'!H$17,O88,na)</x:f>
        <x:v>#VALUE!</x:v>
      </x:c>
      <x:c r="AM88" s="4" t="e">
        <x:f>if('分析'!I$17,P88,na)</x:f>
        <x:v>#VALUE!</x:v>
      </x:c>
    </x:row>
    <x:row r="89">
      <x:c r="AG89" s="4" t="e">
        <x:f>if('分析'!C$17,J89,na)</x:f>
        <x:v>#VALUE!</x:v>
      </x:c>
      <x:c r="AH89" s="4" t="e">
        <x:f>if('分析'!D$17,K89,na)</x:f>
        <x:v>#VALUE!</x:v>
      </x:c>
      <x:c r="AI89" s="4" t="e">
        <x:f>if('分析'!E$17,L89,na)</x:f>
        <x:v>#VALUE!</x:v>
      </x:c>
      <x:c r="AJ89" s="4" t="e">
        <x:f>if('分析'!F$17,M89,na)</x:f>
        <x:v>#VALUE!</x:v>
      </x:c>
      <x:c r="AK89" s="4" t="e">
        <x:f>if('分析'!G$17,N89,na)</x:f>
        <x:v>#VALUE!</x:v>
      </x:c>
      <x:c r="AL89" s="4" t="e">
        <x:f>if('分析'!H$17,O89,na)</x:f>
        <x:v>#VALUE!</x:v>
      </x:c>
      <x:c r="AM89" s="4" t="e">
        <x:f>if('分析'!I$17,P89,na)</x:f>
        <x:v>#VALUE!</x:v>
      </x:c>
    </x:row>
    <x:row r="90">
      <x:c r="AG90" s="4" t="e">
        <x:f>if('分析'!C$17,J90,na)</x:f>
        <x:v>#VALUE!</x:v>
      </x:c>
      <x:c r="AH90" s="4" t="e">
        <x:f>if('分析'!D$17,K90,na)</x:f>
        <x:v>#VALUE!</x:v>
      </x:c>
      <x:c r="AI90" s="4" t="e">
        <x:f>if('分析'!E$17,L90,na)</x:f>
        <x:v>#VALUE!</x:v>
      </x:c>
      <x:c r="AJ90" s="4" t="e">
        <x:f>if('分析'!F$17,M90,na)</x:f>
        <x:v>#VALUE!</x:v>
      </x:c>
      <x:c r="AK90" s="4" t="e">
        <x:f>if('分析'!G$17,N90,na)</x:f>
        <x:v>#VALUE!</x:v>
      </x:c>
      <x:c r="AL90" s="4" t="e">
        <x:f>if('分析'!H$17,O90,na)</x:f>
        <x:v>#VALUE!</x:v>
      </x:c>
      <x:c r="AM90" s="4" t="e">
        <x:f>if('分析'!I$17,P90,na)</x:f>
        <x:v>#VALUE!</x:v>
      </x:c>
    </x:row>
    <x:row r="91">
      <x:c r="AG91" s="4" t="e">
        <x:f>if('分析'!C$17,J91,na)</x:f>
        <x:v>#VALUE!</x:v>
      </x:c>
      <x:c r="AH91" s="4" t="e">
        <x:f>if('分析'!D$17,K91,na)</x:f>
        <x:v>#VALUE!</x:v>
      </x:c>
      <x:c r="AI91" s="4" t="e">
        <x:f>if('分析'!E$17,L91,na)</x:f>
        <x:v>#VALUE!</x:v>
      </x:c>
      <x:c r="AJ91" s="4" t="e">
        <x:f>if('分析'!F$17,M91,na)</x:f>
        <x:v>#VALUE!</x:v>
      </x:c>
      <x:c r="AK91" s="4" t="e">
        <x:f>if('分析'!G$17,N91,na)</x:f>
        <x:v>#VALUE!</x:v>
      </x:c>
      <x:c r="AL91" s="4" t="e">
        <x:f>if('分析'!H$17,O91,na)</x:f>
        <x:v>#VALUE!</x:v>
      </x:c>
      <x:c r="AM91" s="4" t="e">
        <x:f>if('分析'!I$17,P91,na)</x:f>
        <x:v>#VALUE!</x:v>
      </x:c>
    </x:row>
    <x:row r="92">
      <x:c r="AG92" s="4" t="e">
        <x:f>if('分析'!C$17,J92,na)</x:f>
        <x:v>#VALUE!</x:v>
      </x:c>
      <x:c r="AH92" s="4" t="e">
        <x:f>if('分析'!D$17,K92,na)</x:f>
        <x:v>#VALUE!</x:v>
      </x:c>
      <x:c r="AI92" s="4" t="e">
        <x:f>if('分析'!E$17,L92,na)</x:f>
        <x:v>#VALUE!</x:v>
      </x:c>
      <x:c r="AJ92" s="4" t="e">
        <x:f>if('分析'!F$17,M92,na)</x:f>
        <x:v>#VALUE!</x:v>
      </x:c>
      <x:c r="AK92" s="4" t="e">
        <x:f>if('分析'!G$17,N92,na)</x:f>
        <x:v>#VALUE!</x:v>
      </x:c>
      <x:c r="AL92" s="4" t="e">
        <x:f>if('分析'!H$17,O92,na)</x:f>
        <x:v>#VALUE!</x:v>
      </x:c>
      <x:c r="AM92" s="4" t="e">
        <x:f>if('分析'!I$17,P92,na)</x:f>
        <x:v>#VALUE!</x:v>
      </x:c>
    </x:row>
    <x:row r="93">
      <x:c r="AG93" s="4" t="e">
        <x:f>if('分析'!C$17,J93,na)</x:f>
        <x:v>#VALUE!</x:v>
      </x:c>
      <x:c r="AH93" s="4" t="e">
        <x:f>if('分析'!D$17,K93,na)</x:f>
        <x:v>#VALUE!</x:v>
      </x:c>
      <x:c r="AI93" s="4" t="e">
        <x:f>if('分析'!E$17,L93,na)</x:f>
        <x:v>#VALUE!</x:v>
      </x:c>
      <x:c r="AJ93" s="4" t="e">
        <x:f>if('分析'!F$17,M93,na)</x:f>
        <x:v>#VALUE!</x:v>
      </x:c>
      <x:c r="AK93" s="4" t="e">
        <x:f>if('分析'!G$17,N93,na)</x:f>
        <x:v>#VALUE!</x:v>
      </x:c>
      <x:c r="AL93" s="4" t="e">
        <x:f>if('分析'!H$17,O93,na)</x:f>
        <x:v>#VALUE!</x:v>
      </x:c>
      <x:c r="AM93" s="4" t="e">
        <x:f>if('分析'!I$17,P93,na)</x:f>
        <x:v>#VALUE!</x:v>
      </x:c>
    </x:row>
    <x:row r="94">
      <x:c r="AG94" s="4" t="e">
        <x:f>if('分析'!C$17,J94,na)</x:f>
        <x:v>#VALUE!</x:v>
      </x:c>
      <x:c r="AH94" s="4" t="e">
        <x:f>if('分析'!D$17,K94,na)</x:f>
        <x:v>#VALUE!</x:v>
      </x:c>
      <x:c r="AI94" s="4" t="e">
        <x:f>if('分析'!E$17,L94,na)</x:f>
        <x:v>#VALUE!</x:v>
      </x:c>
      <x:c r="AJ94" s="4" t="e">
        <x:f>if('分析'!F$17,M94,na)</x:f>
        <x:v>#VALUE!</x:v>
      </x:c>
      <x:c r="AK94" s="4" t="e">
        <x:f>if('分析'!G$17,N94,na)</x:f>
        <x:v>#VALUE!</x:v>
      </x:c>
      <x:c r="AL94" s="4" t="e">
        <x:f>if('分析'!H$17,O94,na)</x:f>
        <x:v>#VALUE!</x:v>
      </x:c>
      <x:c r="AM94" s="4" t="e">
        <x:f>if('分析'!I$17,P94,na)</x:f>
        <x:v>#VALUE!</x:v>
      </x:c>
    </x:row>
    <x:row r="95">
      <x:c r="AG95" s="4" t="e">
        <x:f>if('分析'!C$17,J95,na)</x:f>
        <x:v>#VALUE!</x:v>
      </x:c>
      <x:c r="AH95" s="4" t="e">
        <x:f>if('分析'!D$17,K95,na)</x:f>
        <x:v>#VALUE!</x:v>
      </x:c>
      <x:c r="AI95" s="4" t="e">
        <x:f>if('分析'!E$17,L95,na)</x:f>
        <x:v>#VALUE!</x:v>
      </x:c>
      <x:c r="AJ95" s="4" t="e">
        <x:f>if('分析'!F$17,M95,na)</x:f>
        <x:v>#VALUE!</x:v>
      </x:c>
      <x:c r="AK95" s="4" t="e">
        <x:f>if('分析'!G$17,N95,na)</x:f>
        <x:v>#VALUE!</x:v>
      </x:c>
      <x:c r="AL95" s="4" t="e">
        <x:f>if('分析'!H$17,O95,na)</x:f>
        <x:v>#VALUE!</x:v>
      </x:c>
      <x:c r="AM95" s="4" t="e">
        <x:f>if('分析'!I$17,P95,na)</x:f>
        <x:v>#VALUE!</x:v>
      </x:c>
    </x:row>
    <x:row r="96">
      <x:c r="AG96" s="4" t="e">
        <x:f>if('分析'!C$17,J96,na)</x:f>
        <x:v>#VALUE!</x:v>
      </x:c>
      <x:c r="AH96" s="4" t="e">
        <x:f>if('分析'!D$17,K96,na)</x:f>
        <x:v>#VALUE!</x:v>
      </x:c>
      <x:c r="AI96" s="4" t="e">
        <x:f>if('分析'!E$17,L96,na)</x:f>
        <x:v>#VALUE!</x:v>
      </x:c>
      <x:c r="AJ96" s="4" t="e">
        <x:f>if('分析'!F$17,M96,na)</x:f>
        <x:v>#VALUE!</x:v>
      </x:c>
      <x:c r="AK96" s="4" t="e">
        <x:f>if('分析'!G$17,N96,na)</x:f>
        <x:v>#VALUE!</x:v>
      </x:c>
      <x:c r="AL96" s="4" t="e">
        <x:f>if('分析'!H$17,O96,na)</x:f>
        <x:v>#VALUE!</x:v>
      </x:c>
      <x:c r="AM96" s="4" t="e">
        <x:f>if('分析'!I$17,P96,na)</x:f>
        <x:v>#VALUE!</x:v>
      </x:c>
    </x:row>
    <x:row r="97">
      <x:c r="AG97" s="4" t="e">
        <x:f>if('分析'!C$17,J97,na)</x:f>
        <x:v>#VALUE!</x:v>
      </x:c>
      <x:c r="AH97" s="4" t="e">
        <x:f>if('分析'!D$17,K97,na)</x:f>
        <x:v>#VALUE!</x:v>
      </x:c>
      <x:c r="AI97" s="4" t="e">
        <x:f>if('分析'!E$17,L97,na)</x:f>
        <x:v>#VALUE!</x:v>
      </x:c>
      <x:c r="AJ97" s="4" t="e">
        <x:f>if('分析'!F$17,M97,na)</x:f>
        <x:v>#VALUE!</x:v>
      </x:c>
      <x:c r="AK97" s="4" t="e">
        <x:f>if('分析'!G$17,N97,na)</x:f>
        <x:v>#VALUE!</x:v>
      </x:c>
      <x:c r="AL97" s="4" t="e">
        <x:f>if('分析'!H$17,O97,na)</x:f>
        <x:v>#VALUE!</x:v>
      </x:c>
      <x:c r="AM97" s="4" t="e">
        <x:f>if('分析'!I$17,P97,na)</x:f>
        <x:v>#VALUE!</x:v>
      </x:c>
    </x:row>
    <x:row r="98">
      <x:c r="AG98" s="4" t="e">
        <x:f>if('分析'!C$17,J98,na)</x:f>
        <x:v>#VALUE!</x:v>
      </x:c>
      <x:c r="AH98" s="4" t="e">
        <x:f>if('分析'!D$17,K98,na)</x:f>
        <x:v>#VALUE!</x:v>
      </x:c>
      <x:c r="AI98" s="4" t="e">
        <x:f>if('分析'!E$17,L98,na)</x:f>
        <x:v>#VALUE!</x:v>
      </x:c>
      <x:c r="AJ98" s="4" t="e">
        <x:f>if('分析'!F$17,M98,na)</x:f>
        <x:v>#VALUE!</x:v>
      </x:c>
      <x:c r="AK98" s="4" t="e">
        <x:f>if('分析'!G$17,N98,na)</x:f>
        <x:v>#VALUE!</x:v>
      </x:c>
      <x:c r="AL98" s="4" t="e">
        <x:f>if('分析'!H$17,O98,na)</x:f>
        <x:v>#VALUE!</x:v>
      </x:c>
      <x:c r="AM98" s="4" t="e">
        <x:f>if('分析'!I$17,P98,na)</x:f>
        <x:v>#VALUE!</x:v>
      </x:c>
    </x:row>
    <x:row r="99">
      <x:c r="AG99" s="4" t="e">
        <x:f>if('分析'!C$17,J99,na)</x:f>
        <x:v>#VALUE!</x:v>
      </x:c>
      <x:c r="AH99" s="4" t="e">
        <x:f>if('分析'!D$17,K99,na)</x:f>
        <x:v>#VALUE!</x:v>
      </x:c>
      <x:c r="AI99" s="4" t="e">
        <x:f>if('分析'!E$17,L99,na)</x:f>
        <x:v>#VALUE!</x:v>
      </x:c>
      <x:c r="AJ99" s="4" t="e">
        <x:f>if('分析'!F$17,M99,na)</x:f>
        <x:v>#VALUE!</x:v>
      </x:c>
      <x:c r="AK99" s="4" t="e">
        <x:f>if('分析'!G$17,N99,na)</x:f>
        <x:v>#VALUE!</x:v>
      </x:c>
      <x:c r="AL99" s="4" t="e">
        <x:f>if('分析'!H$17,O99,na)</x:f>
        <x:v>#VALUE!</x:v>
      </x:c>
      <x:c r="AM99" s="4" t="e">
        <x:f>if('分析'!I$17,P99,na)</x:f>
        <x:v>#VALUE!</x:v>
      </x:c>
    </x:row>
    <x:row r="100">
      <x:c r="AG100" s="4" t="e">
        <x:f>if('分析'!C$17,J100,na)</x:f>
        <x:v>#VALUE!</x:v>
      </x:c>
      <x:c r="AH100" s="4" t="e">
        <x:f>if('分析'!D$17,K100,na)</x:f>
        <x:v>#VALUE!</x:v>
      </x:c>
      <x:c r="AI100" s="4" t="e">
        <x:f>if('分析'!E$17,L100,na)</x:f>
        <x:v>#VALUE!</x:v>
      </x:c>
      <x:c r="AJ100" s="4" t="e">
        <x:f>if('分析'!F$17,M100,na)</x:f>
        <x:v>#VALUE!</x:v>
      </x:c>
      <x:c r="AK100" s="4" t="e">
        <x:f>if('分析'!G$17,N100,na)</x:f>
        <x:v>#VALUE!</x:v>
      </x:c>
      <x:c r="AL100" s="4" t="e">
        <x:f>if('分析'!H$17,O100,na)</x:f>
        <x:v>#VALUE!</x:v>
      </x:c>
      <x:c r="AM100" s="4" t="e">
        <x:f>if('分析'!I$17,P100,na)</x:f>
        <x:v>#VALUE!</x:v>
      </x:c>
    </x:row>
  </x:sheetData>
  <x:mergeCells>
    <x:mergeCell ref="Z3:AA3"/>
    <x:mergeCell ref="AB3:AC3"/>
    <x:mergeCell ref="R2:AE2"/>
    <x:mergeCell ref="AG2:AM2"/>
    <x:mergeCell ref="B2:H2"/>
    <x:mergeCell ref="J2:P2"/>
    <x:mergeCell ref="R3:S3"/>
    <x:mergeCell ref="T3:U3"/>
    <x:mergeCell ref="V3:W3"/>
    <x:mergeCell ref="X3:Y3"/>
    <x:mergeCell ref="AD3:A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2" max="2" width="17.8799991607666" customWidth="1"/>
  </x:cols>
  <x:sheetData>
    <x:row r="1">
      <x:c r="A1" s="24" t="s">
        <x:v>20</x:v>
      </x:c>
      <x:c r="B1" s="25">
        <x:v>5.0</x:v>
      </x:c>
      <x:c r="C1" s="1"/>
      <x:c r="D1" s="1"/>
      <x:c r="E1" s="1"/>
    </x:row>
    <x:row r="2">
      <x:c r="A2" s="1"/>
    </x:row>
    <x:row r="3">
      <x:c r="A3" s="1"/>
      <x:c r="B3" s="26"/>
      <x:c r="C3" s="27" t="s">
        <x:v>0</x:v>
      </x:c>
      <x:c r="D3" s="27" t="s">
        <x:v>1</x:v>
      </x:c>
      <x:c r="E3" s="27" t="s">
        <x:v>2</x:v>
      </x:c>
      <x:c r="F3" s="27" t="s">
        <x:v>3</x:v>
      </x:c>
      <x:c r="G3" s="27" t="s">
        <x:v>6</x:v>
      </x:c>
      <x:c r="H3" s="27" t="s">
        <x:v>7</x:v>
      </x:c>
      <x:c r="I3" s="27" t="s">
        <x:v>8</x:v>
      </x:c>
    </x:row>
    <x:row r="4">
      <x:c r="B4" s="28" t="s">
        <x:v>21</x:v>
      </x:c>
      <x:c r="C4" s="26" t="n">
        <x:f>COUNT('純戰鬥紀錄'!B4:B2800)</x:f>
        <x:v>56</x:v>
      </x:c>
      <x:c r="D4" s="26" t="n">
        <x:f>COUNT('純戰鬥紀錄'!C4:C2800)</x:f>
        <x:v>56</x:v>
      </x:c>
      <x:c r="E4" s="26" t="n">
        <x:f>COUNT('純戰鬥紀錄'!D4:D2800)</x:f>
        <x:v>24</x:v>
      </x:c>
      <x:c r="F4" s="26" t="n">
        <x:f>COUNT('純戰鬥紀錄'!E4:E2800)</x:f>
        <x:v>44</x:v>
      </x:c>
      <x:c r="G4" s="26" t="n">
        <x:f>COUNT('純戰鬥紀錄'!F4:F2800)</x:f>
        <x:v>24</x:v>
      </x:c>
      <x:c r="H4" s="26" t="n">
        <x:f>COUNT('純戰鬥紀錄'!G4:G2800)</x:f>
        <x:v>35</x:v>
      </x:c>
      <x:c r="I4" s="26" t="n">
        <x:f>COUNT('純戰鬥紀錄'!H4:H2800)</x:f>
        <x:v>26</x:v>
      </x:c>
    </x:row>
    <x:row r="5">
      <x:c r="B5" s="28" t="s">
        <x:v>22</x:v>
      </x:c>
      <x:c r="C5" s="26" t="n">
        <x:f>SUM('純戰鬥紀錄'!B4:B2800)</x:f>
        <x:v>1310</x:v>
      </x:c>
      <x:c r="D5" s="26" t="n">
        <x:f>SUM('純戰鬥紀錄'!C4:C2800)</x:f>
        <x:v>51.5</x:v>
      </x:c>
      <x:c r="E5" s="26" t="n">
        <x:f>SUM('純戰鬥紀錄'!D4:D2800)</x:f>
        <x:v>-528</x:v>
      </x:c>
      <x:c r="F5" s="26" t="n">
        <x:f>SUM('純戰鬥紀錄'!E4:E2800)</x:f>
        <x:v>1156.5</x:v>
      </x:c>
      <x:c r="G5" s="26" t="n">
        <x:f>SUM('純戰鬥紀錄'!F4:F2800)</x:f>
        <x:v>-244.5</x:v>
      </x:c>
      <x:c r="H5" s="26" t="n">
        <x:f>SUM('純戰鬥紀錄'!G4:G2800)</x:f>
        <x:v>-880</x:v>
      </x:c>
      <x:c r="I5" s="26" t="n">
        <x:f>SUM('純戰鬥紀錄'!H4:H2800)</x:f>
        <x:v>-33.5</x:v>
      </x:c>
    </x:row>
    <x:row r="6">
      <x:c r="B6" s="28" t="s">
        <x:v>23</x:v>
      </x:c>
      <x:c r="C6" s="29" t="n">
        <x:f t="shared" ref="C6:I6" si="1">(C5/$B$1/C4*100)</x:f>
        <x:v>467.8571428571429</x:v>
      </x:c>
      <x:c r="D6" s="29">
        <x:f t="shared" si="1"/>
        <x:v>18.39285714</x:v>
      </x:c>
      <x:c r="E6" s="29">
        <x:f t="shared" si="1"/>
        <x:v>-440</x:v>
      </x:c>
      <x:c r="F6" s="29">
        <x:f t="shared" si="1"/>
        <x:v>525.6818182</x:v>
      </x:c>
      <x:c r="G6" s="29">
        <x:f t="shared" si="1"/>
        <x:v>-203.75</x:v>
      </x:c>
      <x:c r="H6" s="29">
        <x:f t="shared" si="1"/>
        <x:v>-502.8571429</x:v>
      </x:c>
      <x:c r="I6" s="29">
        <x:f t="shared" si="1"/>
        <x:v>-25.76923077</x:v>
      </x:c>
    </x:row>
    <x:row r="7">
      <x:c r="B7" s="28" t="s">
        <x:v>24</x:v>
      </x:c>
      <x:c r="C7" s="29" t="n">
        <x:f>STDEV('純戰鬥紀錄'!B4:B2800)</x:f>
        <x:v>157.1438748491248</x:v>
      </x:c>
      <x:c r="D7" s="29" t="n">
        <x:f>STDEV('純戰鬥紀錄'!C4:C2800)</x:f>
        <x:v>155.6675880547367</x:v>
      </x:c>
      <x:c r="E7" s="29" t="n">
        <x:f>STDEV('純戰鬥紀錄'!D4:D2800)</x:f>
        <x:v>180.27708142455745</x:v>
      </x:c>
      <x:c r="F7" s="29" t="n">
        <x:f>STDEV('純戰鬥紀錄'!E4:E2800)</x:f>
        <x:v>165.08438285296714</x:v>
      </x:c>
      <x:c r="G7" s="29" t="n">
        <x:f>STDEV('純戰鬥紀錄'!F4:F2800)</x:f>
        <x:v>118.69203963088313</x:v>
      </x:c>
      <x:c r="H7" s="29" t="n">
        <x:f>STDEV('純戰鬥紀錄'!G4:G2800)</x:f>
        <x:v>140.16133411120177</x:v>
      </x:c>
      <x:c r="I7" s="29" t="n">
        <x:f>STDEV('純戰鬥紀錄'!H4:H2800)</x:f>
        <x:v>151.36103680121403</x:v>
      </x:c>
    </x:row>
    <x:row r="8">
      <x:c r="B8" s="28" t="s">
        <x:v>25</x:v>
      </x:c>
      <x:c r="C8" s="29" t="n">
        <x:f t="shared" ref="C8:I8" si="2">C7/$B$1*10</x:f>
        <x:v>314.2877496982496</x:v>
      </x:c>
      <x:c r="D8" s="29">
        <x:f t="shared" si="2"/>
        <x:v>311.3351761</x:v>
      </x:c>
      <x:c r="E8" s="29">
        <x:f t="shared" si="2"/>
        <x:v>360.5541628</x:v>
      </x:c>
      <x:c r="F8" s="29">
        <x:f t="shared" si="2"/>
        <x:v>330.1687657</x:v>
      </x:c>
      <x:c r="G8" s="29">
        <x:f t="shared" si="2"/>
        <x:v>237.3840793</x:v>
      </x:c>
      <x:c r="H8" s="29">
        <x:f t="shared" si="2"/>
        <x:v>280.3226682</x:v>
      </x:c>
      <x:c r="I8" s="29">
        <x:f t="shared" si="2"/>
        <x:v>302.7220736</x:v>
      </x:c>
    </x:row>
    <x:row r="9">
      <x:c r="B9" s="28" t="s">
        <x:v>26</x:v>
      </x:c>
      <x:c r="C9" s="30" t="n">
        <x:f>COUNTIF('純戰鬥紀錄'!B4:B280,"&gt;0")/C4</x:f>
        <x:v>0.5178571428571429</x:v>
      </x:c>
      <x:c r="D9" s="30" t="n">
        <x:f>COUNTIF('純戰鬥紀錄'!C4:C280,"&gt;0")/D4</x:f>
        <x:v>0.4642857142857143</x:v>
      </x:c>
      <x:c r="E9" s="30" t="n">
        <x:f>COUNTIF('純戰鬥紀錄'!D4:D280,"&gt;0")/E4</x:f>
        <x:v>0.4583333333333333</x:v>
      </x:c>
      <x:c r="F9" s="30" t="n">
        <x:f>COUNTIF('純戰鬥紀錄'!E4:E280,"&gt;0")/F4</x:f>
        <x:v>0.6136363636363636</x:v>
      </x:c>
      <x:c r="G9" s="30" t="n">
        <x:f>COUNTIF('純戰鬥紀錄'!F4:F280,"&gt;0")/G4</x:f>
        <x:v>0.375</x:v>
      </x:c>
      <x:c r="H9" s="30" t="n">
        <x:f>COUNTIF('純戰鬥紀錄'!G4:G280,"&gt;0")/H4</x:f>
        <x:v>0.4</x:v>
      </x:c>
      <x:c r="I9" s="30" t="n">
        <x:f>COUNTIF('純戰鬥紀錄'!H4:H280,"&gt;0")/I4</x:f>
        <x:v>0.5</x:v>
      </x:c>
    </x:row>
    <x:row r="10">
      <x:c r="B10" s="28" t="s">
        <x:v>27</x:v>
      </x:c>
      <x:c r="C10" s="29" t="n">
        <x:f>AVERAGEIF('純戰鬥紀錄'!B4:B2800,"&gt;0")</x:f>
        <x:v>147.82758620689654</x:v>
      </x:c>
      <x:c r="D10" s="29" t="n">
        <x:f>AVERAGEIF('純戰鬥紀錄'!C4:C2800,"&gt;0")</x:f>
        <x:v>129.98076923076923</x:v>
      </x:c>
      <x:c r="E10" s="29" t="n">
        <x:f>AVERAGEIF('純戰鬥紀錄'!D4:D2800,"&gt;0")</x:f>
        <x:v>128.9090909090909</x:v>
      </x:c>
      <x:c r="F10" s="29" t="n">
        <x:f>AVERAGEIF('純戰鬥紀錄'!E4:E2800,"&gt;0")</x:f>
        <x:v>122.74074074074075</x:v>
      </x:c>
      <x:c r="G10" s="29" t="n">
        <x:f>AVERAGEIF('純戰鬥紀錄'!F4:F2800,"&gt;0")</x:f>
        <x:v>97.22222222222223</x:v>
      </x:c>
      <x:c r="H10" s="29" t="n">
        <x:f>AVERAGEIF('純戰鬥紀錄'!G4:G2800,"&gt;0")</x:f>
        <x:v>91.60714285714286</x:v>
      </x:c>
      <x:c r="I10" s="29" t="n">
        <x:f>AVERAGEIF('純戰鬥紀錄'!H4:H2800,"&gt;0")</x:f>
        <x:v>111.65384615384616</x:v>
      </x:c>
    </x:row>
    <x:row r="11">
      <x:c r="B11" s="28" t="s">
        <x:v>28</x:v>
      </x:c>
      <x:c r="C11" s="29" t="n">
        <x:f>AVERAGEIF('純戰鬥紀錄'!B4:B2800,"&lt;0")</x:f>
        <x:v>-119.08</x:v>
      </x:c>
      <x:c r="D11" s="29" t="n">
        <x:f>AVERAGEIF('純戰鬥紀錄'!C4:C2800,"&lt;0")</x:f>
        <x:v>-114.75862068965517</x:v>
      </x:c>
      <x:c r="E11" s="29" t="n">
        <x:f>AVERAGEIF('純戰鬥紀錄'!D4:D2800,"&lt;0")</x:f>
        <x:v>-176.9090909090909</x:v>
      </x:c>
      <x:c r="F11" s="29" t="n">
        <x:f>AVERAGEIF('純戰鬥紀錄'!E4:E2800,"&lt;0")</x:f>
        <x:v>-134.84375</x:v>
      </x:c>
      <x:c r="G11" s="29" t="n">
        <x:f>AVERAGEIF('純戰鬥紀錄'!F4:F2800,"&lt;0")</x:f>
        <x:v>-86.11538461538461</x:v>
      </x:c>
      <x:c r="H11" s="29" t="n">
        <x:f>AVERAGEIF('純戰鬥紀錄'!G4:G2800,"&lt;0")</x:f>
        <x:v>-113.8157894736842</x:v>
      </x:c>
      <x:c r="I11" s="29" t="n">
        <x:f>AVERAGEIF('純戰鬥紀錄'!H4:H2800,"&lt;0")</x:f>
        <x:v>-114.23076923076923</x:v>
      </x:c>
    </x:row>
    <x:row r="12">
      <x:c r="B12" s="28" t="s">
        <x:v>29</x:v>
      </x:c>
      <x:c r="C12" s="29" t="n">
        <x:f>AVERAGEIF('純戰鬥紀錄'!B4:B2800,"&gt;0")/(-1*AVERAGEIF('純戰鬥紀錄'!B4:B2800,"&lt;0"))</x:f>
        <x:v>1.2414140595137433</x:v>
      </x:c>
      <x:c r="D12" s="29" t="n">
        <x:f>AVERAGEIF('純戰鬥紀錄'!C4:C2800,"&gt;0")/(-1*AVERAGEIF('純戰鬥紀錄'!C4:C2800,"&lt;0"))</x:f>
        <x:v>1.1326449241863905</x:v>
      </x:c>
      <x:c r="E12" s="29" t="n">
        <x:f>AVERAGEIF('純戰鬥紀錄'!D4:D2800,"&gt;0")/(-1*AVERAGEIF('純戰鬥紀錄'!D4:D2800,"&lt;0"))</x:f>
        <x:v>0.7286742034943474</x:v>
      </x:c>
      <x:c r="F12" s="29" t="n">
        <x:f>AVERAGEIF('純戰鬥紀錄'!E4:E2800,"&gt;0")/(-1*AVERAGEIF('純戰鬥紀錄'!E4:E2800,"&lt;0"))</x:f>
        <x:v>0.910244195528089</x:v>
      </x:c>
      <x:c r="G12" s="29" t="n">
        <x:f>AVERAGEIF('純戰鬥紀錄'!F4:F2800,"&gt;0")/(-1*AVERAGEIF('純戰鬥紀錄'!F4:F2800,"&lt;0"))</x:f>
        <x:v>1.1289762294675203</x:v>
      </x:c>
      <x:c r="H12" s="29" t="n">
        <x:f>AVERAGEIF('純戰鬥紀錄'!G4:G2800,"&gt;0")/(-1*AVERAGEIF('純戰鬥紀錄'!G4:G2800,"&lt;0"))</x:f>
        <x:v>0.8048720066061107</x:v>
      </x:c>
      <x:c r="I12" s="29" t="n">
        <x:f>AVERAGEIF('純戰鬥紀錄'!H4:H2800,"&gt;0")/(-1*AVERAGEIF('純戰鬥紀錄'!H4:H2800,"&lt;0"))</x:f>
        <x:v>0.9774410774410776</x:v>
      </x:c>
    </x:row>
    <x:row r="13">
      <x:c r="B13" s="28" t="s">
        <x:v>30</x:v>
      </x:c>
      <x:c r="C13" s="26" t="n">
        <x:f>MAX('純戰鬥紀錄'!J4:J2800)</x:f>
        <x:v>1417.5</x:v>
      </x:c>
      <x:c r="D13" s="26" t="n">
        <x:f>MAX('純戰鬥紀錄'!K4:K2800)</x:f>
        <x:v>219</x:v>
      </x:c>
      <x:c r="E13" s="26" t="n">
        <x:f>MAX('純戰鬥紀錄'!L4:L2800)</x:f>
        <x:v>757.5</x:v>
      </x:c>
      <x:c r="F13" s="26" t="n">
        <x:f>MAX('純戰鬥紀錄'!M4:M2800)</x:f>
        <x:v>1156.5</x:v>
      </x:c>
      <x:c r="G13" s="26" t="n">
        <x:f>MAX('純戰鬥紀錄'!N4:N2800)</x:f>
        <x:v>238</x:v>
      </x:c>
      <x:c r="H13" s="26" t="n">
        <x:f>MAX('純戰鬥紀錄'!O4:O2800)</x:f>
        <x:v>0</x:v>
      </x:c>
      <x:c r="I13" s="26" t="n">
        <x:f>MAX('純戰鬥紀錄'!P4:P2800)</x:f>
        <x:v>237.5</x:v>
      </x:c>
    </x:row>
    <x:row r="14">
      <x:c r="B14" s="28" t="s">
        <x:v>31</x:v>
      </x:c>
      <x:c r="C14" s="26" t="n">
        <x:f>MIN('純戰鬥紀錄'!J4:J2800)</x:f>
        <x:v>-405</x:v>
      </x:c>
      <x:c r="D14" s="26" t="n">
        <x:f>MIN('純戰鬥紀錄'!K4:K2800)</x:f>
        <x:v>-641</x:v>
      </x:c>
      <x:c r="E14" s="26" t="n">
        <x:f>MIN('純戰鬥紀錄'!L4:L2800)</x:f>
        <x:v>-528</x:v>
      </x:c>
      <x:c r="F14" s="26" t="n">
        <x:f>MIN('純戰鬥紀錄'!M4:M2800)</x:f>
        <x:v>-135.5</x:v>
      </x:c>
      <x:c r="G14" s="26" t="n">
        <x:f>MIN('純戰鬥紀錄'!N4:N2800)</x:f>
        <x:v>-644.5</x:v>
      </x:c>
      <x:c r="H14" s="26" t="n">
        <x:f>MIN('純戰鬥紀錄'!O4:O2800)</x:f>
        <x:v>-880</x:v>
      </x:c>
      <x:c r="I14" s="26" t="n">
        <x:f>MIN('純戰鬥紀錄'!P4:P2800)</x:f>
        <x:v>-662.5</x:v>
      </x:c>
    </x:row>
    <x:row r="15">
      <x:c r="B15" s="28" t="s">
        <x:v>32</x:v>
      </x:c>
      <x:c r="C15" s="26" t="n">
        <x:f>-1*MIN('純戰鬥紀錄'!S5:S2900)</x:f>
        <x:v>565</x:v>
      </x:c>
      <x:c r="D15" s="26" t="n">
        <x:f>-1*MIN('純戰鬥紀錄'!U5:U2900)</x:f>
        <x:v>860</x:v>
      </x:c>
      <x:c r="E15" s="26" t="n">
        <x:f>-1*MIN('純戰鬥紀錄'!W5:W2900)</x:f>
        <x:v>1035.5</x:v>
      </x:c>
      <x:c r="F15" s="26" t="n">
        <x:f>-1*MIN('純戰鬥紀錄'!Y5:Y2900)</x:f>
        <x:v>662.5</x:v>
      </x:c>
      <x:c r="G15" s="26" t="n">
        <x:f>-1*MIN('純戰鬥紀錄'!AA5:AA2900)</x:f>
        <x:v>882.5</x:v>
      </x:c>
      <x:c r="H15" s="26" t="n">
        <x:f>-1*MIN('純戰鬥紀錄'!AC5:AC2900)</x:f>
        <x:v>880</x:v>
      </x:c>
      <x:c r="I15" s="26" t="n">
        <x:f>-1*MIN('純戰鬥紀錄'!AE5:AE2900)</x:f>
        <x:v>237.5</x:v>
      </x:c>
    </x:row>
    <x:row r="16">
      <x:c r="B16" s="28" t="s">
        <x:v>33</x:v>
      </x:c>
      <x:c r="C16" s="31" t="n">
        <x:f t="shared" ref="C16:I16" si="3">C6/C8</x:f>
        <x:v>1.4886267228243435</x:v>
      </x:c>
      <x:c r="D16" s="31">
        <x:f t="shared" si="3"/>
        <x:v>0.05907734992</x:v>
      </x:c>
      <x:c r="E16" s="31">
        <x:f t="shared" si="3"/>
        <x:v>-1.220343697</x:v>
      </x:c>
      <x:c r="F16" s="31">
        <x:f t="shared" si="3"/>
        <x:v>1.592160958</x:v>
      </x:c>
      <x:c r="G16" s="31">
        <x:f t="shared" si="3"/>
        <x:v>-0.8583136689</x:v>
      </x:c>
      <x:c r="H16" s="31">
        <x:f t="shared" si="3"/>
        <x:v>-1.793851157</x:v>
      </x:c>
      <x:c r="I16" s="31">
        <x:f t="shared" si="3"/>
        <x:v>-0.08512504709</x:v>
      </x:c>
    </x:row>
    <x:row r="17">
      <x:c r="B17" s="28" t="s">
        <x:v>34</x:v>
      </x:c>
      <x:c r="C17" s="28" t="b">
        <x:v>1</x:v>
      </x:c>
      <x:c r="D17" s="28" t="b">
        <x:v>1</x:v>
      </x:c>
      <x:c r="E17" s="28" t="b">
        <x:v>1</x:v>
      </x:c>
      <x:c r="F17" s="28" t="b">
        <x:v>1</x:v>
      </x:c>
      <x:c r="G17" s="28" t="b">
        <x:v>1</x:v>
      </x:c>
      <x:c r="H17" s="28" t="b">
        <x:v>1</x:v>
      </x:c>
      <x:c r="I17" s="28" t="b">
        <x:v>1</x:v>
      </x:c>
    </x:row>
  </x:sheetData>
  <x:pageMargins left="0.7" right="0.7" top="0.75" bottom="0.75" header="0.3" footer="0.3"/>
  <x:drawing xmlns:r="http://schemas.openxmlformats.org/officeDocument/2006/relationships" r:id="R80c3819f7afd4b12"/>
</x:worksheet>
</file>

<file path=xl/worksheets/sheet4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35</x:v>
      </x:c>
      <x:c r="C1" s="1" t="s">
        <x:v>3</x:v>
      </x:c>
      <x:c r="D1" s="1" t="s">
        <x:v>36</x:v>
      </x:c>
      <x:c r="E1" s="1" t="s">
        <x:v>8</x:v>
      </x:c>
      <x:c r="F1" s="1" t="s">
        <x:v>37</x:v>
      </x:c>
      <x:c r="G1" s="1" t="s">
        <x:v>2</x:v>
      </x:c>
      <x:c r="H1" s="1" t="s">
        <x:v>38</x:v>
      </x:c>
      <x:c r="I1" s="1"/>
      <x:c r="J1" s="1" t="s">
        <x:v>12</x:v>
      </x:c>
    </x:row>
    <x:row r="2">
      <x:c r="A2" s="1">
        <x:v>-100.0</x:v>
      </x:c>
      <x:c r="B2" s="1">
        <x:v>100.0</x:v>
      </x:c>
      <x:c r="J2" s="4" t="n">
        <x:f t="shared" ref="J2:J5" si="1">sum(A2:G2)</x:f>
        <x:v>0</x:v>
      </x:c>
    </x:row>
    <x:row r="3">
      <x:c r="A3" s="1">
        <x:v>200.0</x:v>
      </x:c>
      <x:c r="B3" s="1">
        <x:v>-52.5</x:v>
      </x:c>
      <x:c r="C3" s="1">
        <x:v>-250.0</x:v>
      </x:c>
      <x:c r="F3" s="1">
        <x:v>27.5</x:v>
      </x:c>
      <x:c r="G3" s="1">
        <x:v>75.0</x:v>
      </x:c>
      <x:c r="J3" s="4">
        <x:f t="shared" si="1"/>
        <x:v>0</x:v>
      </x:c>
    </x:row>
    <x:row r="4">
      <x:c r="A4" s="1">
        <x:v>-250.0</x:v>
      </x:c>
      <x:c r="B4" s="1">
        <x:v>-227.5</x:v>
      </x:c>
      <x:c r="C4" s="1">
        <x:v>360.5</x:v>
      </x:c>
      <x:c r="F4" s="1">
        <x:v>92.0</x:v>
      </x:c>
      <x:c r="G4" s="1">
        <x:v>25.0</x:v>
      </x:c>
      <x:c r="J4" s="4">
        <x:f t="shared" si="1"/>
        <x:v>0</x:v>
      </x:c>
    </x:row>
    <x:row r="5">
      <x:c r="C5" s="1">
        <x:v>54.0</x:v>
      </x:c>
      <x:c r="E5" s="1">
        <x:v>4.0</x:v>
      </x:c>
      <x:c r="G5" s="1">
        <x:v>-58.0</x:v>
      </x:c>
      <x:c r="J5" s="4">
        <x:f t="shared" si="1"/>
        <x:v>0</x:v>
      </x:c>
    </x:row>
    <x:row r="6">
      <x:c r="A6" s="1">
        <x:v>165.0</x:v>
      </x:c>
      <x:c r="B6" s="1">
        <x:v>5.0</x:v>
      </x:c>
      <x:c r="C6" s="1">
        <x:v>-55.0</x:v>
      </x:c>
      <x:c r="E6" s="1">
        <x:v>-5.0</x:v>
      </x:c>
      <x:c r="G6" s="1">
        <x:v>140.0</x:v>
      </x:c>
      <x:c r="H6" s="1">
        <x:v>-250.0</x:v>
      </x:c>
      <x:c r="I6" s="1"/>
      <x:c r="J6" s="4" t="n">
        <x:f t="shared" ref="J6:J14" si="2">sum(A6:H6)</x:f>
        <x:v>0</x:v>
      </x:c>
    </x:row>
    <x:row r="7">
      <x:c r="A7" s="1">
        <x:v>82.5</x:v>
      </x:c>
      <x:c r="B7" s="1">
        <x:v>157.5</x:v>
      </x:c>
      <x:c r="C7" s="1">
        <x:v>67.5</x:v>
      </x:c>
      <x:c r="D7" s="1">
        <x:v>40.0</x:v>
      </x:c>
      <x:c r="E7" s="1">
        <x:v>2.5</x:v>
      </x:c>
      <x:c r="G7" s="1">
        <x:v>-240.0</x:v>
      </x:c>
      <x:c r="H7" s="1">
        <x:v>-110.0</x:v>
      </x:c>
      <x:c r="I7" s="1"/>
      <x:c r="J7" s="4">
        <x:f t="shared" si="2"/>
        <x:v>0</x:v>
      </x:c>
    </x:row>
    <x:row r="8">
      <x:c r="A8" s="1">
        <x:v>102.5</x:v>
      </x:c>
      <x:c r="B8" s="1">
        <x:v>225.0</x:v>
      </x:c>
      <x:c r="C8" s="1">
        <x:v>12.5</x:v>
      </x:c>
      <x:c r="D8" s="1">
        <x:v>-250.0</x:v>
      </x:c>
      <x:c r="E8" s="1">
        <x:v>-37.5</x:v>
      </x:c>
      <x:c r="G8" s="1">
        <x:v>-20.0</x:v>
      </x:c>
      <x:c r="H8" s="1">
        <x:v>-32.5</x:v>
      </x:c>
      <x:c r="J8" s="4">
        <x:f t="shared" si="2"/>
        <x:v>0</x:v>
      </x:c>
    </x:row>
    <x:row r="9">
      <x:c r="A9" s="1">
        <x:v>210.0</x:v>
      </x:c>
      <x:c r="B9" s="1">
        <x:v>-250.0</x:v>
      </x:c>
      <x:c r="C9" s="1">
        <x:v>332.5</x:v>
      </x:c>
      <x:c r="D9" s="1">
        <x:v>-75.0</x:v>
      </x:c>
      <x:c r="E9" s="1">
        <x:v>15.0</x:v>
      </x:c>
      <x:c r="G9" s="1">
        <x:v>-127.5</x:v>
      </x:c>
      <x:c r="H9" s="1">
        <x:v>-105.0</x:v>
      </x:c>
      <x:c r="J9" s="4">
        <x:f t="shared" si="2"/>
        <x:v>0</x:v>
      </x:c>
    </x:row>
    <x:row r="10">
      <x:c r="A10" s="1">
        <x:v>122.5</x:v>
      </x:c>
      <x:c r="B10" s="1">
        <x:v>105.0</x:v>
      </x:c>
      <x:c r="C10" s="1">
        <x:v>22.5</x:v>
      </x:c>
      <x:c r="G10" s="1">
        <x:v>-250.0</x:v>
      </x:c>
      <x:c r="J10" s="4">
        <x:f t="shared" si="2"/>
        <x:v>0</x:v>
      </x:c>
    </x:row>
    <x:row r="11">
      <x:c r="A11" s="1">
        <x:v>-250.0</x:v>
      </x:c>
      <x:c r="B11" s="1">
        <x:v>15.0</x:v>
      </x:c>
      <x:c r="C11" s="1">
        <x:v>235.0</x:v>
      </x:c>
      <x:c r="J11" s="4">
        <x:f t="shared" si="2"/>
        <x:v>0</x:v>
      </x:c>
    </x:row>
    <x:row r="12">
      <x:c r="A12" s="1">
        <x:v>142.5</x:v>
      </x:c>
      <x:c r="B12" s="1">
        <x:v>72.5</x:v>
      </x:c>
      <x:c r="C12" s="1">
        <x:v>35.0</x:v>
      </x:c>
      <x:c r="G12" s="1">
        <x:v>-250.0</x:v>
      </x:c>
      <x:c r="J12" s="4">
        <x:f t="shared" si="2"/>
        <x:v>0</x:v>
      </x:c>
    </x:row>
    <x:row r="13">
      <x:c r="J13" s="4">
        <x:f t="shared" si="2"/>
        <x:v>0</x:v>
      </x:c>
    </x:row>
    <x:row r="14">
      <x:c r="J14" s="4">
        <x:f t="shared" si="2"/>
        <x:v>0</x:v>
      </x:c>
    </x:row>
    <x:row r="15">
      <x:c r="A15" s="4" t="n">
        <x:f t="shared" ref="A15:H15" si="3">sum(A2:A14)</x:f>
        <x:v>425</x:v>
      </x:c>
      <x:c r="B15" s="4">
        <x:f t="shared" si="3"/>
        <x:v>150</x:v>
      </x:c>
      <x:c r="C15" s="4">
        <x:f t="shared" si="3"/>
        <x:v>814.5</x:v>
      </x:c>
      <x:c r="D15" s="4">
        <x:f t="shared" si="3"/>
        <x:v>-285</x:v>
      </x:c>
      <x:c r="E15" s="4">
        <x:f t="shared" si="3"/>
        <x:v>-21</x:v>
      </x:c>
      <x:c r="F15" s="4">
        <x:f t="shared" si="3"/>
        <x:v>119.5</x:v>
      </x:c>
      <x:c r="G15" s="4">
        <x:f t="shared" si="3"/>
        <x:v>-705.5</x:v>
      </x:c>
      <x:c r="H15" s="4">
        <x:f t="shared" si="3"/>
        <x:v>-497.5</x:v>
      </x:c>
      <x:c r="I15" s="1" t="s">
        <x:v>39</x:v>
      </x:c>
      <x:c r="J15" s="4" t="n">
        <x:f>sum(A15:I15)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35</x:v>
      </x:c>
      <x:c r="C1" s="1" t="s">
        <x:v>3</x:v>
      </x:c>
      <x:c r="D1" s="1" t="s">
        <x:v>36</x:v>
      </x:c>
      <x:c r="E1" s="1" t="s">
        <x:v>8</x:v>
      </x:c>
      <x:c r="F1" s="1" t="s">
        <x:v>6</x:v>
      </x:c>
      <x:c r="G1" s="1" t="s">
        <x:v>11</x:v>
      </x:c>
      <x:c r="H1" s="1"/>
      <x:c r="I1" s="1" t="s">
        <x:v>12</x:v>
      </x:c>
    </x:row>
    <x:row r="2">
      <x:c r="A2" s="1">
        <x:v>327.5</x:v>
      </x:c>
      <x:c r="B2" s="1">
        <x:v>-55.0</x:v>
      </x:c>
      <x:c r="D2" s="1">
        <x:v>35.0</x:v>
      </x:c>
      <x:c r="E2" s="1">
        <x:v>-57.5</x:v>
      </x:c>
      <x:c r="F2" s="1">
        <x:v>-250.0</x:v>
      </x:c>
      <x:c r="I2" s="4" t="n">
        <x:f>sum(A2:F2,)</x:f>
        <x:v>0</x:v>
      </x:c>
    </x:row>
    <x:row r="3">
      <x:c r="A3" s="1">
        <x:v>-250.0</x:v>
      </x:c>
      <x:c r="B3" s="1">
        <x:v>-5.0</x:v>
      </x:c>
      <x:c r="C3" s="1">
        <x:v>37.5</x:v>
      </x:c>
      <x:c r="D3" s="1">
        <x:v>10.0</x:v>
      </x:c>
      <x:c r="E3" s="1">
        <x:v>-45.0</x:v>
      </x:c>
      <x:c r="F3" s="1">
        <x:v>105.0</x:v>
      </x:c>
      <x:c r="G3" s="1">
        <x:v>147.5</x:v>
      </x:c>
      <x:c r="I3" s="4" t="n">
        <x:f t="shared" ref="I3:I14" si="1">sum(A3:H3)</x:f>
        <x:v>0</x:v>
      </x:c>
    </x:row>
    <x:row r="4">
      <x:c r="A4" s="1">
        <x:v>-250.0</x:v>
      </x:c>
      <x:c r="B4" s="1">
        <x:v>77.5</x:v>
      </x:c>
      <x:c r="C4" s="1">
        <x:v>-22.5</x:v>
      </x:c>
      <x:c r="D4" s="1">
        <x:v>470.0</x:v>
      </x:c>
      <x:c r="E4" s="1">
        <x:v>-42.5</x:v>
      </x:c>
      <x:c r="F4" s="1">
        <x:v>17.5</x:v>
      </x:c>
      <x:c r="G4" s="1">
        <x:v>-250.0</x:v>
      </x:c>
      <x:c r="I4" s="4">
        <x:f t="shared" si="1"/>
        <x:v>0</x:v>
      </x:c>
    </x:row>
    <x:row r="5">
      <x:c r="A5" s="1">
        <x:v>-65.0</x:v>
      </x:c>
      <x:c r="B5" s="1">
        <x:v>-102.5</x:v>
      </x:c>
      <x:c r="C5" s="1">
        <x:v>42.5</x:v>
      </x:c>
      <x:c r="D5" s="1">
        <x:v>-250.0</x:v>
      </x:c>
      <x:c r="E5" s="1">
        <x:v>30.0</x:v>
      </x:c>
      <x:c r="F5" s="1">
        <x:v>160.0</x:v>
      </x:c>
      <x:c r="G5" s="1">
        <x:v>185.0</x:v>
      </x:c>
      <x:c r="I5" s="4">
        <x:f t="shared" si="1"/>
        <x:v>0</x:v>
      </x:c>
    </x:row>
    <x:row r="6">
      <x:c r="A6" s="1">
        <x:v>160.0</x:v>
      </x:c>
      <x:c r="B6" s="1">
        <x:v>-5.0</x:v>
      </x:c>
      <x:c r="C6" s="1">
        <x:v>-250.0</x:v>
      </x:c>
      <x:c r="E6" s="1">
        <x:v>215.0</x:v>
      </x:c>
      <x:c r="F6" s="1">
        <x:v>-10.0</x:v>
      </x:c>
      <x:c r="G6" s="1">
        <x:v>-110.0</x:v>
      </x:c>
      <x:c r="I6" s="4">
        <x:f t="shared" si="1"/>
        <x:v>0</x:v>
      </x:c>
    </x:row>
    <x:row r="7">
      <x:c r="A7" s="1">
        <x:v>-10.0</x:v>
      </x:c>
      <x:c r="B7" s="1">
        <x:v>420.0</x:v>
      </x:c>
      <x:c r="C7" s="1">
        <x:v>-250.0</x:v>
      </x:c>
      <x:c r="D7" s="1">
        <x:v>-85.0</x:v>
      </x:c>
      <x:c r="E7" s="1">
        <x:v>60.0</x:v>
      </x:c>
      <x:c r="F7" s="1">
        <x:v>-92.5</x:v>
      </x:c>
      <x:c r="G7" s="1">
        <x:v>-42.5</x:v>
      </x:c>
      <x:c r="I7" s="4">
        <x:f t="shared" si="1"/>
        <x:v>0</x:v>
      </x:c>
    </x:row>
    <x:row r="8">
      <x:c r="A8" s="1">
        <x:v>105.0</x:v>
      </x:c>
      <x:c r="B8" s="1">
        <x:v>232.5</x:v>
      </x:c>
      <x:c r="C8" s="1">
        <x:v>-32.5</x:v>
      </x:c>
      <x:c r="D8" s="1">
        <x:v>-112.5</x:v>
      </x:c>
      <x:c r="E8" s="1">
        <x:v>-250.0</x:v>
      </x:c>
      <x:c r="F8" s="1">
        <x:v>250.0</x:v>
      </x:c>
      <x:c r="G8" s="1">
        <x:v>-192.5</x:v>
      </x:c>
      <x:c r="I8" s="4">
        <x:f t="shared" si="1"/>
        <x:v>0</x:v>
      </x:c>
    </x:row>
    <x:row r="9">
      <x:c r="A9" s="1">
        <x:v>225.0</x:v>
      </x:c>
      <x:c r="B9" s="1">
        <x:v>30.0</x:v>
      </x:c>
      <x:c r="C9" s="1">
        <x:v>-30.0</x:v>
      </x:c>
      <x:c r="F9" s="1">
        <x:v>25.0</x:v>
      </x:c>
      <x:c r="G9" s="1">
        <x:v>-250.0</x:v>
      </x:c>
      <x:c r="I9" s="4">
        <x:f t="shared" si="1"/>
        <x:v>0</x:v>
      </x:c>
    </x:row>
    <x:row r="10">
      <x:c r="A10" s="1">
        <x:v>-40.0</x:v>
      </x:c>
      <x:c r="B10" s="1">
        <x:v>-140.0</x:v>
      </x:c>
      <x:c r="C10" s="1">
        <x:v>150.0</x:v>
      </x:c>
      <x:c r="F10" s="1">
        <x:v>-55.0</x:v>
      </x:c>
      <x:c r="G10" s="1">
        <x:v>85.0</x:v>
      </x:c>
      <x:c r="I10" s="4">
        <x:f t="shared" si="1"/>
        <x:v>0</x:v>
      </x:c>
    </x:row>
    <x:row r="11" ht="16.5" customHeight="1">
      <x:c r="I11" s="4">
        <x:f t="shared" si="1"/>
        <x:v>0</x:v>
      </x:c>
    </x:row>
    <x:row r="12" ht="16.5" customHeight="1">
      <x:c r="I12" s="4">
        <x:f t="shared" si="1"/>
        <x:v>0</x:v>
      </x:c>
    </x:row>
    <x:row r="13" ht="16.5" customHeight="1">
      <x:c r="A13" s="1">
        <x:v>45.0</x:v>
      </x:c>
      <x:c r="B13" s="1">
        <x:v>-45.0</x:v>
      </x:c>
      <x:c r="H13" s="1" t="s">
        <x:v>40</x:v>
      </x:c>
      <x:c r="I13" s="4">
        <x:f t="shared" si="1"/>
        <x:v>0</x:v>
      </x:c>
    </x:row>
    <x:row r="14" ht="16.5" customHeight="1">
      <x:c r="I14" s="4">
        <x:f t="shared" si="1"/>
        <x:v>0</x:v>
      </x:c>
    </x:row>
    <x:row r="15">
      <x:c r="A15" s="4" t="n">
        <x:f t="shared" ref="A15:G15" si="2">sum(A2:A14)</x:f>
        <x:v>247.5</x:v>
      </x:c>
      <x:c r="B15" s="4">
        <x:f t="shared" si="2"/>
        <x:v>407.5</x:v>
      </x:c>
      <x:c r="C15" s="4">
        <x:f t="shared" si="2"/>
        <x:v>-355</x:v>
      </x:c>
      <x:c r="D15" s="4">
        <x:f t="shared" si="2"/>
        <x:v>67.5</x:v>
      </x:c>
      <x:c r="E15" s="4">
        <x:f t="shared" si="2"/>
        <x:v>-90</x:v>
      </x:c>
      <x:c r="F15" s="4">
        <x:f t="shared" si="2"/>
        <x:v>150</x:v>
      </x:c>
      <x:c r="G15" s="4">
        <x:f t="shared" si="2"/>
        <x:v>-427.5</x:v>
      </x:c>
      <x:c r="H15" s="1" t="s">
        <x:v>39</x:v>
      </x:c>
      <x:c r="I15" s="4" t="n">
        <x:f>sum(A15:G15)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sheetData>
    <x:row r="1">
      <x:c r="A1" s="1" t="s">
        <x:v>0</x:v>
      </x:c>
      <x:c r="B1" s="1" t="s">
        <x:v>35</x:v>
      </x:c>
      <x:c r="C1" s="1" t="s">
        <x:v>3</x:v>
      </x:c>
      <x:c r="D1" s="1" t="s">
        <x:v>2</x:v>
      </x:c>
      <x:c r="E1" s="1" t="s">
        <x:v>36</x:v>
      </x:c>
      <x:c r="F1" s="1" t="s">
        <x:v>8</x:v>
      </x:c>
      <x:c r="G1" s="1">
        <x:v>6669.0</x:v>
      </x:c>
      <x:c r="H1" s="1" t="s">
        <x:v>10</x:v>
      </x:c>
      <x:c r="I1" s="1" t="s">
        <x:v>9</x:v>
      </x:c>
      <x:c r="J1" s="1" t="s">
        <x:v>12</x:v>
      </x:c>
    </x:row>
    <x:row r="2">
      <x:c r="A2" s="1">
        <x:v>212.5</x:v>
      </x:c>
      <x:c r="B2" s="1">
        <x:v>25.0</x:v>
      </x:c>
      <x:c r="C2" s="1">
        <x:v>12.5</x:v>
      </x:c>
      <x:c r="D2" s="1">
        <x:v>-250.0</x:v>
      </x:c>
      <x:c r="J2" s="4" t="n">
        <x:f t="shared" ref="J2:J5" si="1">SUM(A2:G2)</x:f>
        <x:v>0</x:v>
      </x:c>
    </x:row>
    <x:row r="3">
      <x:c r="A3" s="1">
        <x:v>-5.0</x:v>
      </x:c>
      <x:c r="B3" s="1">
        <x:v>-250.0</x:v>
      </x:c>
      <x:c r="C3" s="1">
        <x:v>92.5</x:v>
      </x:c>
      <x:c r="D3" s="1">
        <x:v>97.5</x:v>
      </x:c>
      <x:c r="E3" s="1">
        <x:v>-77.5</x:v>
      </x:c>
      <x:c r="F3" s="1">
        <x:v>142.5</x:v>
      </x:c>
      <x:c r="J3" s="4">
        <x:f t="shared" si="1"/>
        <x:v>0</x:v>
      </x:c>
    </x:row>
    <x:row r="4">
      <x:c r="A4" s="1">
        <x:v>52.5</x:v>
      </x:c>
      <x:c r="B4" s="1">
        <x:v>-97.5</x:v>
      </x:c>
      <x:c r="C4" s="1">
        <x:v>95.0</x:v>
      </x:c>
      <x:c r="D4" s="1">
        <x:v>152.5</x:v>
      </x:c>
      <x:c r="E4" s="1">
        <x:v>47.5</x:v>
      </x:c>
      <x:c r="F4" s="1">
        <x:v>-250.0</x:v>
      </x:c>
      <x:c r="J4" s="4">
        <x:f t="shared" si="1"/>
        <x:v>0</x:v>
      </x:c>
    </x:row>
    <x:row r="5">
      <x:c r="A5" s="1">
        <x:v>-162.5</x:v>
      </x:c>
      <x:c r="B5" s="1">
        <x:v>-250.0</x:v>
      </x:c>
      <x:c r="C5" s="1">
        <x:v>457.5</x:v>
      </x:c>
      <x:c r="D5" s="1">
        <x:v>0.0</x:v>
      </x:c>
      <x:c r="E5" s="1">
        <x:v>-67.5</x:v>
      </x:c>
      <x:c r="F5" s="1">
        <x:v>22.5</x:v>
      </x:c>
      <x:c r="J5" s="4">
        <x:f t="shared" si="1"/>
        <x:v>0</x:v>
      </x:c>
    </x:row>
    <x:row r="6">
      <x:c r="A6" s="1">
        <x:v>10.0</x:v>
      </x:c>
      <x:c r="B6" s="1">
        <x:v>42.5</x:v>
      </x:c>
      <x:c r="E6" s="1">
        <x:v>-40.0</x:v>
      </x:c>
      <x:c r="F6" s="1">
        <x:v>-120.0</x:v>
      </x:c>
      <x:c r="G6" s="1">
        <x:v>357.5</x:v>
      </x:c>
      <x:c r="H6" s="1">
        <x:v>-250.0</x:v>
      </x:c>
      <x:c r="I6" s="1"/>
      <x:c r="J6" s="4" t="n">
        <x:f t="shared" ref="J6:J11" si="2">SUM(A6:H6)</x:f>
        <x:v>0</x:v>
      </x:c>
    </x:row>
    <x:row r="7">
      <x:c r="A7" s="1">
        <x:v>-250.0</x:v>
      </x:c>
      <x:c r="B7" s="1">
        <x:v>172.5</x:v>
      </x:c>
      <x:c r="E7" s="1">
        <x:v>-30.0</x:v>
      </x:c>
      <x:c r="F7" s="1">
        <x:v>-92.5</x:v>
      </x:c>
      <x:c r="G7" s="1">
        <x:v>267.5</x:v>
      </x:c>
      <x:c r="H7" s="1">
        <x:v>-67.5</x:v>
      </x:c>
      <x:c r="I7" s="1"/>
      <x:c r="J7" s="4">
        <x:f t="shared" si="2"/>
        <x:v>0</x:v>
      </x:c>
    </x:row>
    <x:row r="8">
      <x:c r="A8" s="1">
        <x:v>-90.0</x:v>
      </x:c>
      <x:c r="B8" s="1">
        <x:v>-55.0</x:v>
      </x:c>
      <x:c r="E8" s="1">
        <x:v>-250.0</x:v>
      </x:c>
      <x:c r="F8" s="1">
        <x:v>-155.0</x:v>
      </x:c>
      <x:c r="G8" s="1">
        <x:v>540.0</x:v>
      </x:c>
      <x:c r="H8" s="1">
        <x:v>10.0</x:v>
      </x:c>
      <x:c r="I8" s="1"/>
      <x:c r="J8" s="4">
        <x:f t="shared" si="2"/>
        <x:v>0</x:v>
      </x:c>
    </x:row>
    <x:row r="9">
      <x:c r="A9" s="1">
        <x:v>305.0</x:v>
      </x:c>
      <x:c r="B9" s="1">
        <x:v>-145.0</x:v>
      </x:c>
      <x:c r="E9" s="1">
        <x:v>112.5</x:v>
      </x:c>
      <x:c r="F9" s="1">
        <x:v>182.5</x:v>
      </x:c>
      <x:c r="G9" s="1">
        <x:v>-245.0</x:v>
      </x:c>
      <x:c r="H9" s="1">
        <x:v>-210.0</x:v>
      </x:c>
      <x:c r="I9" s="1"/>
      <x:c r="J9" s="4">
        <x:f t="shared" si="2"/>
        <x:v>0</x:v>
      </x:c>
    </x:row>
    <x:row r="10">
      <x:c r="A10" s="1">
        <x:v>-70.0</x:v>
      </x:c>
      <x:c r="B10" s="1">
        <x:v>62.5</x:v>
      </x:c>
      <x:c r="E10" s="1">
        <x:v>-80.0</x:v>
      </x:c>
      <x:c r="F10" s="1">
        <x:v>350.0</x:v>
      </x:c>
      <x:c r="G10" s="1">
        <x:v>-12.5</x:v>
      </x:c>
      <x:c r="H10" s="1">
        <x:v>-250.0</x:v>
      </x:c>
      <x:c r="I10" s="1"/>
      <x:c r="J10" s="4">
        <x:f t="shared" si="2"/>
        <x:v>0</x:v>
      </x:c>
    </x:row>
    <x:row r="11">
      <x:c r="A11" s="1">
        <x:v>-77.5</x:v>
      </x:c>
      <x:c r="B11" s="1">
        <x:v>135.0</x:v>
      </x:c>
      <x:c r="E11" s="1">
        <x:v>75.0</x:v>
      </x:c>
      <x:c r="F11" s="1">
        <x:v>12.5</x:v>
      </x:c>
      <x:c r="G11" s="1">
        <x:v>-250.0</x:v>
      </x:c>
      <x:c r="H11" s="1">
        <x:v>105.0</x:v>
      </x:c>
      <x:c r="I11" s="1"/>
      <x:c r="J11" s="4">
        <x:f t="shared" si="2"/>
        <x:v>0</x:v>
      </x:c>
    </x:row>
    <x:row r="12">
      <x:c r="A12" s="1">
        <x:v>110.0</x:v>
      </x:c>
      <x:c r="B12" s="1">
        <x:v>-192.5</x:v>
      </x:c>
      <x:c r="D12" s="1">
        <x:v>50.0</x:v>
      </x:c>
      <x:c r="E12" s="1">
        <x:v>-75.0</x:v>
      </x:c>
      <x:c r="F12" s="1">
        <x:v>252.5</x:v>
      </x:c>
      <x:c r="G12" s="1">
        <x:v>-250.0</x:v>
      </x:c>
      <x:c r="H12" s="1">
        <x:v>-30.0</x:v>
      </x:c>
      <x:c r="I12" s="1">
        <x:v>135.0</x:v>
      </x:c>
      <x:c r="J12" s="4" t="n">
        <x:f t="shared" ref="J12:J19" si="3">SUM(A12:I12)</x:f>
        <x:v>0</x:v>
      </x:c>
    </x:row>
    <x:row r="13">
      <x:c r="A13" s="1">
        <x:v>85.0</x:v>
      </x:c>
      <x:c r="B13" s="1">
        <x:v>-192.5</x:v>
      </x:c>
      <x:c r="E13" s="1">
        <x:v>-250.0</x:v>
      </x:c>
      <x:c r="F13" s="1">
        <x:v>-57.5</x:v>
      </x:c>
      <x:c r="G13" s="1">
        <x:v>300.0</x:v>
      </x:c>
      <x:c r="H13" s="1">
        <x:v>-185.0</x:v>
      </x:c>
      <x:c r="I13" s="1">
        <x:v>300.0</x:v>
      </x:c>
      <x:c r="J13" s="4">
        <x:f t="shared" si="3"/>
        <x:v>0</x:v>
      </x:c>
    </x:row>
    <x:row r="14">
      <x:c r="J14" s="4">
        <x:f t="shared" si="3"/>
        <x:v>0</x:v>
      </x:c>
    </x:row>
    <x:row r="15">
      <x:c r="J15" s="4">
        <x:f t="shared" si="3"/>
        <x:v>0</x:v>
      </x:c>
    </x:row>
    <x:row r="16">
      <x:c r="J16" s="4">
        <x:f t="shared" si="3"/>
        <x:v>0</x:v>
      </x:c>
    </x:row>
    <x:row r="17">
      <x:c r="J17" s="4">
        <x:f t="shared" si="3"/>
        <x:v>0</x:v>
      </x:c>
    </x:row>
    <x:row r="18">
      <x:c r="J18" s="4">
        <x:f t="shared" si="3"/>
        <x:v>0</x:v>
      </x:c>
    </x:row>
    <x:row r="19">
      <x:c r="J19" s="4">
        <x:f t="shared" si="3"/>
        <x:v>0</x:v>
      </x:c>
    </x:row>
    <x:row r="20">
      <x:c r="A20" s="4" t="n">
        <x:f t="shared" ref="A20:I20" si="4">sum(A2:A19)</x:f>
        <x:v>120</x:v>
      </x:c>
      <x:c r="B20" s="4">
        <x:f t="shared" si="4"/>
        <x:v>-745</x:v>
      </x:c>
      <x:c r="C20" s="4">
        <x:f t="shared" si="4"/>
        <x:v>657.5</x:v>
      </x:c>
      <x:c r="D20" s="4">
        <x:f t="shared" si="4"/>
        <x:v>50</x:v>
      </x:c>
      <x:c r="E20" s="4">
        <x:f t="shared" si="4"/>
        <x:v>-635</x:v>
      </x:c>
      <x:c r="F20" s="4">
        <x:f t="shared" si="4"/>
        <x:v>287.5</x:v>
      </x:c>
      <x:c r="G20" s="4">
        <x:f t="shared" si="4"/>
        <x:v>707.5</x:v>
      </x:c>
      <x:c r="H20" s="4">
        <x:f t="shared" si="4"/>
        <x:v>-877.5</x:v>
      </x:c>
      <x:c r="I20" s="4">
        <x:f t="shared" si="4"/>
        <x:v>435</x:v>
      </x:c>
      <x:c r="J20" s="1" t="s">
        <x:v>41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3</x:v>
      </x:c>
      <x:c r="D1" s="1" t="s">
        <x:v>6</x:v>
      </x:c>
      <x:c r="E1" s="1" t="s">
        <x:v>11</x:v>
      </x:c>
      <x:c r="F1" s="1" t="s">
        <x:v>42</x:v>
      </x:c>
      <x:c r="G1" s="1" t="s">
        <x:v>43</x:v>
      </x:c>
      <x:c r="H1" s="1"/>
      <x:c r="I1" s="1" t="s">
        <x:v>44</x:v>
      </x:c>
    </x:row>
    <x:row r="2">
      <x:c r="A2" s="1">
        <x:v>-100.0</x:v>
      </x:c>
      <x:c r="B2" s="1">
        <x:v>102.0</x:v>
      </x:c>
      <x:c r="C2" s="1">
        <x:v>0.0</x:v>
      </x:c>
      <x:c r="D2" s="1">
        <x:v>-2.0</x:v>
      </x:c>
      <x:c r="E2" s="1">
        <x:v>0.0</x:v>
      </x:c>
      <x:c r="F2" s="1">
        <x:v>0.0</x:v>
      </x:c>
      <x:c r="G2" s="1">
        <x:v>0.0</x:v>
      </x:c>
    </x:row>
    <x:row r="3">
      <x:c r="A3" s="1">
        <x:v>-12.0</x:v>
      </x:c>
      <x:c r="B3" s="1">
        <x:v>-38.0</x:v>
      </x:c>
      <x:c r="C3" s="1">
        <x:v>0.0</x:v>
      </x:c>
      <x:c r="D3" s="1">
        <x:v>50.0</x:v>
      </x:c>
      <x:c r="E3" s="1">
        <x:v>0.0</x:v>
      </x:c>
      <x:c r="F3" s="1">
        <x:v>0.0</x:v>
      </x:c>
      <x:c r="G3" s="1">
        <x:v>0.0</x:v>
      </x:c>
    </x:row>
    <x:row r="4">
      <x:c r="A4" s="1">
        <x:v>-42.5</x:v>
      </x:c>
      <x:c r="B4" s="1">
        <x:v>-30.0</x:v>
      </x:c>
      <x:c r="C4" s="1">
        <x:v>0.0</x:v>
      </x:c>
      <x:c r="D4" s="1">
        <x:v>-155.0</x:v>
      </x:c>
      <x:c r="E4" s="1">
        <x:v>452.5</x:v>
      </x:c>
      <x:c r="F4" s="1">
        <x:v>25.0</x:v>
      </x:c>
      <x:c r="G4" s="1">
        <x:v>-250.0</x:v>
      </x:c>
    </x:row>
    <x:row r="5">
      <x:c r="A5" s="1">
        <x:v>72.5</x:v>
      </x:c>
      <x:c r="B5" s="1">
        <x:v>0.0</x:v>
      </x:c>
      <x:c r="C5" s="1">
        <x:v>10.0</x:v>
      </x:c>
      <x:c r="D5" s="1">
        <x:v>-5.0</x:v>
      </x:c>
      <x:c r="E5" s="4" t="n">
        <x:f>180</x:f>
        <x:v>180</x:v>
      </x:c>
      <x:c r="F5" s="1">
        <x:v>-7.5</x:v>
      </x:c>
      <x:c r="G5" s="1">
        <x:v>-250.0</x:v>
      </x:c>
    </x:row>
    <x:row r="6">
      <x:c r="A6" s="1">
        <x:v>0.0</x:v>
      </x:c>
      <x:c r="B6" s="1">
        <x:v>-250.0</x:v>
      </x:c>
      <x:c r="C6" s="1">
        <x:v>0.0</x:v>
      </x:c>
      <x:c r="D6" s="1">
        <x:v>0.0</x:v>
      </x:c>
      <x:c r="E6" s="4" t="n">
        <x:f>250</x:f>
        <x:v>250</x:v>
      </x:c>
      <x:c r="F6" s="1">
        <x:v>0.0</x:v>
      </x:c>
      <x:c r="G6" s="1">
        <x:v>0.0</x:v>
      </x:c>
    </x:row>
    <x:row r="7">
      <x:c r="A7" s="1">
        <x:v>62.5</x:v>
      </x:c>
      <x:c r="B7" s="1">
        <x:v>-77.5</x:v>
      </x:c>
      <x:c r="C7" s="1">
        <x:v>100.0</x:v>
      </x:c>
      <x:c r="D7" s="1">
        <x:v>5.0</x:v>
      </x:c>
      <x:c r="E7" s="1">
        <x:v>30.0</x:v>
      </x:c>
      <x:c r="F7" s="1">
        <x:v>130.0</x:v>
      </x:c>
      <x:c r="G7" s="1">
        <x:v>-250.0</x:v>
      </x:c>
    </x:row>
    <x:row r="8">
      <x:c r="A8" s="1">
        <x:v>-140.0</x:v>
      </x:c>
      <x:c r="B8" s="1">
        <x:v>385.0</x:v>
      </x:c>
      <x:c r="C8" s="1">
        <x:v>50.0</x:v>
      </x:c>
      <x:c r="D8" s="1">
        <x:v>0.0</x:v>
      </x:c>
      <x:c r="E8" s="1">
        <x:v>110.0</x:v>
      </x:c>
      <x:c r="F8" s="1">
        <x:v>-155.0</x:v>
      </x:c>
      <x:c r="G8" s="1">
        <x:v>-250.0</x:v>
      </x:c>
    </x:row>
    <x:row r="9">
      <x:c r="A9" s="1">
        <x:v>-47.5</x:v>
      </x:c>
      <x:c r="B9" s="1">
        <x:v>-67.5</x:v>
      </x:c>
      <x:c r="C9" s="1">
        <x:v>-250.0</x:v>
      </x:c>
      <x:c r="D9" s="1">
        <x:v>-102.5</x:v>
      </x:c>
      <x:c r="E9" s="1">
        <x:v>377.5</x:v>
      </x:c>
      <x:c r="F9" s="1">
        <x:v>-10.0</x:v>
      </x:c>
      <x:c r="G9" s="1">
        <x:v>100.0</x:v>
      </x:c>
    </x:row>
    <x:row r="10">
      <x:c r="A10" s="1">
        <x:v>-250.0</x:v>
      </x:c>
      <x:c r="B10" s="1">
        <x:v>-37.5</x:v>
      </x:c>
      <x:c r="C10" s="1">
        <x:v>-25.0</x:v>
      </x:c>
      <x:c r="D10" s="1">
        <x:v>-42.5</x:v>
      </x:c>
      <x:c r="E10" s="1">
        <x:v>265.0</x:v>
      </x:c>
      <x:c r="F10" s="1">
        <x:v>-85.0</x:v>
      </x:c>
      <x:c r="G10" s="1">
        <x:v>175.0</x:v>
      </x:c>
    </x:row>
    <x:row r="11">
      <x:c r="A11" s="1">
        <x:v>137.0</x:v>
      </x:c>
      <x:c r="B11" s="1">
        <x:v>-22.5</x:v>
      </x:c>
      <x:c r="C11" s="1">
        <x:v>80.0</x:v>
      </x:c>
      <x:c r="D11" s="1">
        <x:v>-65.0</x:v>
      </x:c>
      <x:c r="E11" s="1">
        <x:v>-250.0</x:v>
      </x:c>
      <x:c r="F11" s="1">
        <x:v>117.5</x:v>
      </x:c>
      <x:c r="G11" s="1">
        <x:v>2.5</x:v>
      </x:c>
    </x:row>
    <x:row r="12">
      <x:c r="A12" s="1">
        <x:v>270.0</x:v>
      </x:c>
      <x:c r="B12" s="1">
        <x:v>-70.0</x:v>
      </x:c>
      <x:c r="C12" s="1">
        <x:v>-60.0</x:v>
      </x:c>
      <x:c r="D12" s="1">
        <x:v>-70.0</x:v>
      </x:c>
      <x:c r="E12" s="1">
        <x:v>-70.0</x:v>
      </x:c>
      <x:c r="F12" s="1">
        <x:v>0.0</x:v>
      </x:c>
      <x:c r="G12" s="1">
        <x:v>0.0</x:v>
      </x:c>
      <x:c r="I12" s="1" t="s">
        <x:v>45</x:v>
      </x:c>
    </x:row>
    <x:row r="13">
      <x:c r="A13" s="1">
        <x:v>50.0</x:v>
      </x:c>
      <x:c r="B13" s="1">
        <x:v>160.0</x:v>
      </x:c>
      <x:c r="C13" s="1">
        <x:v>-35.0</x:v>
      </x:c>
      <x:c r="D13" s="1">
        <x:v>72.5</x:v>
      </x:c>
      <x:c r="E13" s="1">
        <x:v>-122.5</x:v>
      </x:c>
      <x:c r="F13" s="1">
        <x:v>125.0</x:v>
      </x:c>
      <x:c r="G13" s="1">
        <x:v>-250.0</x:v>
      </x:c>
    </x:row>
    <x:row r="14">
      <x:c r="A14" s="1">
        <x:v>27.5</x:v>
      </x:c>
      <x:c r="B14" s="1">
        <x:v>75.0</x:v>
      </x:c>
      <x:c r="C14" s="1">
        <x:v>125.0</x:v>
      </x:c>
      <x:c r="D14" s="1">
        <x:v>-20.0</x:v>
      </x:c>
      <x:c r="E14" s="1">
        <x:v>-250.0</x:v>
      </x:c>
      <x:c r="F14" s="1">
        <x:v>25.0</x:v>
      </x:c>
      <x:c r="G14" s="1">
        <x:v>17.5</x:v>
      </x:c>
    </x:row>
    <x:row r="15">
      <x:c r="A15" s="1">
        <x:v>0.0</x:v>
      </x:c>
      <x:c r="B15" s="4" t="n">
        <x:f>177.5</x:f>
        <x:v>177.5</x:v>
      </x:c>
      <x:c r="C15" s="1">
        <x:v>50.0</x:v>
      </x:c>
      <x:c r="D15" s="1">
        <x:v>-250.0</x:v>
      </x:c>
      <x:c r="E15" s="1">
        <x:v>62.5</x:v>
      </x:c>
      <x:c r="F15" s="1">
        <x:v>12.5</x:v>
      </x:c>
      <x:c r="G15" s="1">
        <x:v>-52.5</x:v>
      </x:c>
    </x:row>
    <x:row r="16">
      <x:c r="A16" s="1"/>
      <x:c r="B16" s="1"/>
    </x:row>
    <x:row r="17">
      <x:c r="B17" s="1">
        <x:v>0.5</x:v>
      </x:c>
      <x:c r="E17" s="1">
        <x:v>-1035.0</x:v>
      </x:c>
      <x:c r="F17" s="1">
        <x:v>27.0</x:v>
      </x:c>
      <x:c r="G17" s="4" t="n">
        <x:f>1007.5</x:f>
        <x:v>1007.5</x:v>
      </x:c>
      <x:c r="I17" s="1" t="s">
        <x:v>46</x:v>
      </x:c>
    </x:row>
    <x:row r="18">
      <x:c r="F18" s="1">
        <x:v>0.5</x:v>
      </x:c>
      <x:c r="I18" s="1" t="s">
        <x:v>47</x:v>
      </x:c>
    </x:row>
    <x:row r="20">
      <x:c r="A20" s="4" t="n">
        <x:f t="shared" ref="A20:E20" si="1">sum(A2:A17)</x:f>
        <x:v>27.5</x:v>
      </x:c>
      <x:c r="B20" s="4">
        <x:f t="shared" si="1"/>
        <x:v>307</x:v>
      </x:c>
      <x:c r="C20" s="4">
        <x:f t="shared" si="1"/>
        <x:v>45</x:v>
      </x:c>
      <x:c r="D20" s="4">
        <x:f t="shared" si="1"/>
        <x:v>-584.5</x:v>
      </x:c>
      <x:c r="E20" s="4">
        <x:f t="shared" si="1"/>
        <x:v>0</x:v>
      </x:c>
      <x:c r="F20" s="4" t="n">
        <x:f>sum(F2:F18)</x:f>
        <x:v>205</x:v>
      </x:c>
      <x:c r="G20" s="4" t="n">
        <x:f>sum(G2:G17)</x:f>
        <x:v>0</x:v>
      </x:c>
      <x:c r="I20" s="1" t="s">
        <x:v>48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5</x:v>
      </x:c>
      <x:c r="F1" s="1" t="s">
        <x:v>6</x:v>
      </x:c>
      <x:c r="G1" s="1"/>
      <x:c r="H1" s="1" t="s">
        <x:v>44</x:v>
      </x:c>
    </x:row>
    <x:row r="2">
      <x:c r="A2" s="1">
        <x:v>-250.0</x:v>
      </x:c>
      <x:c r="B2" s="1">
        <x:v>-112.5</x:v>
      </x:c>
      <x:c r="C2" s="1">
        <x:v>447.5</x:v>
      </x:c>
      <x:c r="D2" s="1">
        <x:v>-85.0</x:v>
      </x:c>
    </x:row>
    <x:row r="3">
      <x:c r="A3" s="1">
        <x:v>200.0</x:v>
      </x:c>
      <x:c r="B3" s="1">
        <x:v>-250.0</x:v>
      </x:c>
      <x:c r="C3" s="1">
        <x:v>-222.5</x:v>
      </x:c>
      <x:c r="D3" s="1">
        <x:v>272.5</x:v>
      </x:c>
    </x:row>
    <x:row r="4">
      <x:c r="A4" s="1">
        <x:v>117.5</x:v>
      </x:c>
      <x:c r="B4" s="1">
        <x:v>112.5</x:v>
      </x:c>
      <x:c r="C4" s="1">
        <x:v>-250.0</x:v>
      </x:c>
      <x:c r="D4" s="1">
        <x:v>20.0</x:v>
      </x:c>
    </x:row>
    <x:row r="5">
      <x:c r="A5" s="1">
        <x:v>242.5</x:v>
      </x:c>
      <x:c r="B5" s="1">
        <x:v>-2.5</x:v>
      </x:c>
      <x:c r="C5" s="1">
        <x:v>10.0</x:v>
      </x:c>
      <x:c r="D5" s="1">
        <x:v>-250.0</x:v>
      </x:c>
    </x:row>
    <x:row r="6">
      <x:c r="A6" s="1">
        <x:v>222.5</x:v>
      </x:c>
      <x:c r="B6" s="1">
        <x:v>-12.5</x:v>
      </x:c>
      <x:c r="C6" s="1">
        <x:v>-250.0</x:v>
      </x:c>
      <x:c r="D6" s="1">
        <x:v>152.5</x:v>
      </x:c>
    </x:row>
    <x:row r="7">
      <x:c r="A7" s="1">
        <x:v>107.5</x:v>
      </x:c>
      <x:c r="B7" s="1">
        <x:v>10.0</x:v>
      </x:c>
      <x:c r="C7" s="1">
        <x:v>132.5</x:v>
      </x:c>
      <x:c r="D7" s="1">
        <x:v>-250.0</x:v>
      </x:c>
    </x:row>
    <x:row r="9">
      <x:c r="A9" s="1">
        <x:v>-430.0</x:v>
      </x:c>
      <x:c r="B9" s="1">
        <x:v>-55.0</x:v>
      </x:c>
      <x:c r="C9" s="1">
        <x:v>-7.5</x:v>
      </x:c>
      <x:c r="D9" s="4" t="n">
        <x:f>172.5</x:f>
        <x:v>172.5</x:v>
      </x:c>
      <x:c r="E9" s="1">
        <x:v>17.5</x:v>
      </x:c>
      <x:c r="F9" s="1">
        <x:v>190.0</x:v>
      </x:c>
      <x:c r="G9" s="1"/>
      <x:c r="H9" s="1" t="s">
        <x:v>47</x:v>
      </x:c>
    </x:row>
    <x:row r="11">
      <x:c r="A11" s="4" t="n">
        <x:f t="shared" ref="A11:F11" si="1">sum(A2:A10)</x:f>
        <x:v>210</x:v>
      </x:c>
      <x:c r="B11" s="4">
        <x:f t="shared" si="1"/>
        <x:v>-310</x:v>
      </x:c>
      <x:c r="C11" s="4">
        <x:f t="shared" si="1"/>
        <x:v>-140</x:v>
      </x:c>
      <x:c r="D11" s="4">
        <x:f t="shared" si="1"/>
        <x:v>32.5</x:v>
      </x:c>
      <x:c r="E11" s="4">
        <x:f t="shared" si="1"/>
        <x:v>17.5</x:v>
      </x:c>
      <x:c r="F11" s="4">
        <x:f t="shared" si="1"/>
        <x:v>190</x:v>
      </x:c>
      <x:c r="H11" s="1" t="s">
        <x:v>49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8" max="8" width="23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7</x:v>
      </x:c>
      <x:c r="F1" s="1" t="s">
        <x:v>50</x:v>
      </x:c>
      <x:c r="H1" s="1" t="s">
        <x:v>44</x:v>
      </x:c>
    </x:row>
    <x:row r="2">
      <x:c r="A2" s="1">
        <x:v>-45.0</x:v>
      </x:c>
      <x:c r="B2" s="1">
        <x:v>-250.0</x:v>
      </x:c>
      <x:c r="C2" s="1">
        <x:v>158.0</x:v>
      </x:c>
      <x:c r="D2" s="1">
        <x:v>137.0</x:v>
      </x:c>
    </x:row>
    <x:row r="3">
      <x:c r="A3" s="1">
        <x:v>-10.0</x:v>
      </x:c>
      <x:c r="B3" s="4" t="n">
        <x:f>200</x:f>
        <x:v>200</x:v>
      </x:c>
      <x:c r="C3" s="1">
        <x:v>-28.0</x:v>
      </x:c>
      <x:c r="D3" s="1">
        <x:v>-145.0</x:v>
      </x:c>
    </x:row>
    <x:row r="4">
      <x:c r="A4" s="1">
        <x:v>-35.0</x:v>
      </x:c>
      <x:c r="B4" s="1">
        <x:v>-87.5</x:v>
      </x:c>
      <x:c r="C4" s="1">
        <x:v>67.5</x:v>
      </x:c>
      <x:c r="D4" s="1">
        <x:v>142.5</x:v>
      </x:c>
      <x:c r="E4" s="1">
        <x:v>-250.0</x:v>
      </x:c>
      <x:c r="F4" s="1">
        <x:v>162.5</x:v>
      </x:c>
    </x:row>
    <x:row r="5">
      <x:c r="A5" s="1">
        <x:v>-175.0</x:v>
      </x:c>
      <x:c r="B5" s="1">
        <x:v>52.5</x:v>
      </x:c>
      <x:c r="C5" s="1">
        <x:v>112.5</x:v>
      </x:c>
      <x:c r="D5" s="1">
        <x:v>167.5</x:v>
      </x:c>
      <x:c r="E5" s="1">
        <x:v>57.5</x:v>
      </x:c>
      <x:c r="F5" s="1">
        <x:v>-215.0</x:v>
      </x:c>
    </x:row>
    <x:row r="6">
      <x:c r="A6" s="4" t="n">
        <x:f>110</x:f>
        <x:v>110</x:v>
      </x:c>
      <x:c r="B6" s="1">
        <x:v>227.5</x:v>
      </x:c>
      <x:c r="C6" s="1">
        <x:v>0.0</x:v>
      </x:c>
      <x:c r="D6" s="1">
        <x:v>-167.5</x:v>
      </x:c>
      <x:c r="E6" s="1">
        <x:v>-12.5</x:v>
      </x:c>
      <x:c r="F6" s="1">
        <x:v>-157.5</x:v>
      </x:c>
    </x:row>
    <x:row r="8">
      <x:c r="B8" s="1">
        <x:v>-5.0</x:v>
      </x:c>
      <x:c r="C8" s="1">
        <x:v>-4.0</x:v>
      </x:c>
      <x:c r="E8" s="1"/>
      <x:c r="F8" s="1"/>
      <x:c r="H8" s="1" t="s">
        <x:v>47</x:v>
      </x:c>
    </x:row>
    <x:row r="9">
      <x:c r="B9" s="1">
        <x:v>-415.0</x:v>
      </x:c>
      <x:c r="E9" s="1" t="n">
        <x:f>205</x:f>
        <x:v>205</x:v>
      </x:c>
      <x:c r="F9" s="1" t="n">
        <x:f>210</x:f>
        <x:v>210</x:v>
      </x:c>
      <x:c r="H9" s="1" t="s">
        <x:v>51</x:v>
      </x:c>
    </x:row>
    <x:row r="10">
      <x:c r="A10" s="4" t="n">
        <x:f>452.5</x:f>
        <x:v>452.5</x:v>
      </x:c>
      <x:c r="B10" s="1">
        <x:v>-320.0</x:v>
      </x:c>
      <x:c r="D10" s="1">
        <x:v>-132.5</x:v>
      </x:c>
      <x:c r="E10" s="1"/>
      <x:c r="F10" s="1"/>
      <x:c r="H10" s="1" t="s">
        <x:v>52</x:v>
      </x:c>
    </x:row>
    <x:row r="11">
      <x:c r="E11" s="1"/>
      <x:c r="F11" s="1"/>
    </x:row>
    <x:row r="12">
      <x:c r="A12" s="4" t="n">
        <x:f t="shared" ref="A12:F12" si="1">sum(A2:A11)</x:f>
        <x:v>297.5</x:v>
      </x:c>
      <x:c r="B12" s="4">
        <x:f t="shared" si="1"/>
        <x:v>-597.5</x:v>
      </x:c>
      <x:c r="C12" s="4">
        <x:f t="shared" si="1"/>
        <x:v>306</x:v>
      </x:c>
      <x:c r="D12" s="4">
        <x:f t="shared" si="1"/>
        <x:v>2</x:v>
      </x:c>
      <x:c r="E12" s="4">
        <x:f t="shared" si="1"/>
        <x:v>0</x:v>
      </x:c>
      <x:c r="F12" s="4">
        <x:f t="shared" si="1"/>
        <x:v>0</x:v>
      </x:c>
      <x:c r="H12" s="1" t="s">
        <x:v>53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.25" hidden="0" customWidth="1"/>
    <x:col min="3" max="3" width="13.75" hidden="0" customWidth="1"/>
    <x:col min="4" max="4" width="12.380000114440918" hidden="0" customWidth="1"/>
    <x:col min="5" max="5" width="17" hidden="0" customWidth="1"/>
    <x:col min="6" max="6" width="10" hidden="0" customWidth="1"/>
    <x:col min="7" max="7" width="15.130000114440918" hidden="0" customWidth="1"/>
    <x:col min="8" max="8" width="6.630000114440918" hidden="0" customWidth="1"/>
    <x:col min="9" max="9" width="14.130000114440918" hidden="0" customWidth="1"/>
  </x:cols>
  <x:sheetData>
    <x:row r="1">
      <x:c r="A1" s="39" t="str">
        <x:v>game_date</x:v>
      </x:c>
      <x:c r="B1" s="39" t="str">
        <x:v>session_number</x:v>
      </x:c>
      <x:c r="C1" s="39" t="str">
        <x:v>source_sheet</x:v>
      </x:c>
      <x:c r="D1" s="39" t="str">
        <x:v>source_row</x:v>
      </x:c>
      <x:c r="E1" s="39" t="str">
        <x:v>participant_count</x:v>
      </x:c>
      <x:c r="F1" s="39" t="str">
        <x:v>total_pnl</x:v>
      </x:c>
      <x:c r="G1" s="39" t="str">
        <x:v>balance_status</x:v>
      </x:c>
      <x:c r="H1" s="39" t="str">
        <x:v>note</x:v>
      </x:c>
      <x:c r="I1" s="39" t="str">
        <x:v>import_action</x:v>
      </x:c>
    </x:row>
    <x:row r="2">
      <x:c r="A2" s="39" t="str">
        <x:v>2026-07-25</x:v>
      </x:c>
      <x:c r="B2" s="42" t="n">
        <x:v>1</x:v>
      </x:c>
      <x:c r="C2" s="42" t="str">
        <x:v>260725</x:v>
      </x:c>
      <x:c r="D2" s="42" t="n">
        <x:v>2</x:v>
      </x:c>
      <x:c r="E2" s="42" t="n">
        <x:v>4</x:v>
      </x:c>
      <x:c r="F2" s="42" t="n">
        <x:v>0</x:v>
      </x:c>
      <x:c r="G2" s="42" t="str">
        <x:v>VALID</x:v>
      </x:c>
      <x:c r="H2" s="39"/>
      <x:c r="I2" s="39" t="str">
        <x:v>IMPORT</x:v>
      </x:c>
    </x:row>
    <x:row r="3">
      <x:c r="A3" s="39" t="str">
        <x:v>2026-07-25</x:v>
      </x:c>
      <x:c r="B3" s="42" t="n">
        <x:v>2</x:v>
      </x:c>
      <x:c r="C3" s="42" t="str">
        <x:v>260725</x:v>
      </x:c>
      <x:c r="D3" s="42" t="n">
        <x:v>3</x:v>
      </x:c>
      <x:c r="E3" s="42" t="n">
        <x:v>4</x:v>
      </x:c>
      <x:c r="F3" s="42" t="n">
        <x:v>17</x:v>
      </x:c>
      <x:c r="G3" s="42" t="str">
        <x:v>WARNING</x:v>
      </x:c>
      <x:c r="H3" s="39"/>
      <x:c r="I3" s="39" t="str">
        <x:v>REVIEW</x:v>
      </x:c>
    </x:row>
    <x:row r="4">
      <x:c r="A4" s="39" t="str">
        <x:v>2026-07-25</x:v>
      </x:c>
      <x:c r="B4" s="42" t="n">
        <x:v>3</x:v>
      </x:c>
      <x:c r="C4" s="42" t="str">
        <x:v>260725</x:v>
      </x:c>
      <x:c r="D4" s="42" t="n">
        <x:v>4</x:v>
      </x:c>
      <x:c r="E4" s="42" t="n">
        <x:v>6</x:v>
      </x:c>
      <x:c r="F4" s="42" t="n">
        <x:v>0</x:v>
      </x:c>
      <x:c r="G4" s="42" t="str">
        <x:v>VALID</x:v>
      </x:c>
      <x:c r="H4" s="39"/>
      <x:c r="I4" s="39" t="str">
        <x:v>IMPORT</x:v>
      </x:c>
    </x:row>
    <x:row r="5">
      <x:c r="A5" s="39" t="str">
        <x:v>2026-07-25</x:v>
      </x:c>
      <x:c r="B5" s="42" t="n">
        <x:v>4</x:v>
      </x:c>
      <x:c r="C5" s="42" t="str">
        <x:v>260725</x:v>
      </x:c>
      <x:c r="D5" s="42" t="n">
        <x:v>5</x:v>
      </x:c>
      <x:c r="E5" s="42" t="n">
        <x:v>6</x:v>
      </x:c>
      <x:c r="F5" s="42" t="n">
        <x:v>0</x:v>
      </x:c>
      <x:c r="G5" s="42" t="str">
        <x:v>VALID</x:v>
      </x:c>
      <x:c r="H5" s="39"/>
      <x:c r="I5" s="39" t="str">
        <x:v>IMPORT</x:v>
      </x:c>
    </x:row>
    <x:row r="6">
      <x:c r="A6" s="39" t="str">
        <x:v>2026-07-25</x:v>
      </x:c>
      <x:c r="B6" s="42" t="n">
        <x:v>5</x:v>
      </x:c>
      <x:c r="C6" s="42" t="str">
        <x:v>260725</x:v>
      </x:c>
      <x:c r="D6" s="42" t="n">
        <x:v>6</x:v>
      </x:c>
      <x:c r="E6" s="42" t="n">
        <x:v>6</x:v>
      </x:c>
      <x:c r="F6" s="42" t="n">
        <x:v>0</x:v>
      </x:c>
      <x:c r="G6" s="42" t="str">
        <x:v>VALID</x:v>
      </x:c>
      <x:c r="H6" s="39"/>
      <x:c r="I6" s="39" t="str">
        <x:v>IMPORT</x:v>
      </x:c>
    </x:row>
    <x:row r="7">
      <x:c r="A7" s="39" t="str">
        <x:v>2026-07-31</x:v>
      </x:c>
      <x:c r="B7" s="42" t="n">
        <x:v>1</x:v>
      </x:c>
      <x:c r="C7" s="42" t="str">
        <x:v>260731</x:v>
      </x:c>
      <x:c r="D7" s="42" t="n">
        <x:v>2</x:v>
      </x:c>
      <x:c r="E7" s="42" t="n">
        <x:v>4</x:v>
      </x:c>
      <x:c r="F7" s="42" t="n">
        <x:v>0</x:v>
      </x:c>
      <x:c r="G7" s="42" t="str">
        <x:v>VALID</x:v>
      </x:c>
      <x:c r="H7" s="39"/>
      <x:c r="I7" s="39" t="str">
        <x:v>IMPORT</x:v>
      </x:c>
    </x:row>
    <x:row r="8">
      <x:c r="A8" s="39" t="str">
        <x:v>2026-07-31</x:v>
      </x:c>
      <x:c r="B8" s="42" t="n">
        <x:v>2</x:v>
      </x:c>
      <x:c r="C8" s="42" t="str">
        <x:v>260731</x:v>
      </x:c>
      <x:c r="D8" s="42" t="n">
        <x:v>3</x:v>
      </x:c>
      <x:c r="E8" s="42" t="n">
        <x:v>4</x:v>
      </x:c>
      <x:c r="F8" s="42" t="n">
        <x:v>0</x:v>
      </x:c>
      <x:c r="G8" s="42" t="str">
        <x:v>VALID</x:v>
      </x:c>
      <x:c r="H8" s="39"/>
      <x:c r="I8" s="39" t="str">
        <x:v>IMPORT</x:v>
      </x:c>
    </x:row>
    <x:row r="9">
      <x:c r="A9" s="39" t="str">
        <x:v>2026-07-31</x:v>
      </x:c>
      <x:c r="B9" s="42" t="n">
        <x:v>3</x:v>
      </x:c>
      <x:c r="C9" s="42" t="str">
        <x:v>260731</x:v>
      </x:c>
      <x:c r="D9" s="42" t="n">
        <x:v>4</x:v>
      </x:c>
      <x:c r="E9" s="42" t="n">
        <x:v>4</x:v>
      </x:c>
      <x:c r="F9" s="42" t="n">
        <x:v>0</x:v>
      </x:c>
      <x:c r="G9" s="42" t="str">
        <x:v>VALID</x:v>
      </x:c>
      <x:c r="H9" s="39"/>
      <x:c r="I9" s="39" t="str">
        <x:v>IMPORT</x:v>
      </x:c>
    </x:row>
    <x:row r="10">
      <x:c r="A10" s="39" t="str">
        <x:v>2026-07-31</x:v>
      </x:c>
      <x:c r="B10" s="42" t="n">
        <x:v>4</x:v>
      </x:c>
      <x:c r="C10" s="42" t="str">
        <x:v>260731</x:v>
      </x:c>
      <x:c r="D10" s="42" t="n">
        <x:v>5</x:v>
      </x:c>
      <x:c r="E10" s="42" t="n">
        <x:v>4</x:v>
      </x:c>
      <x:c r="F10" s="42" t="n">
        <x:v>0</x:v>
      </x:c>
      <x:c r="G10" s="42" t="str">
        <x:v>VALID</x:v>
      </x:c>
      <x:c r="H10" s="39"/>
      <x:c r="I10" s="39" t="str">
        <x:v>IMPORT</x:v>
      </x:c>
    </x:row>
    <x:row r="11">
      <x:c r="A11" s="39" t="str">
        <x:v>2026-07-31</x:v>
      </x:c>
      <x:c r="B11" s="42" t="n">
        <x:v>5</x:v>
      </x:c>
      <x:c r="C11" s="42" t="str">
        <x:v>260731</x:v>
      </x:c>
      <x:c r="D11" s="42" t="n">
        <x:v>6</x:v>
      </x:c>
      <x:c r="E11" s="42" t="n">
        <x:v>4</x:v>
      </x:c>
      <x:c r="F11" s="42" t="n">
        <x:v>112.5</x:v>
      </x:c>
      <x:c r="G11" s="42" t="str">
        <x:v>WARNING</x:v>
      </x:c>
      <x:c r="H11" s="39"/>
      <x:c r="I11" s="39" t="str">
        <x:v>REVIEW</x:v>
      </x:c>
    </x:row>
    <x:row r="12">
      <x:c r="A12" s="39" t="str">
        <x:v>2026-07-31</x:v>
      </x:c>
      <x:c r="B12" s="42" t="n">
        <x:v>6</x:v>
      </x:c>
      <x:c r="C12" s="42" t="str">
        <x:v>260731</x:v>
      </x:c>
      <x:c r="D12" s="42" t="n">
        <x:v>7</x:v>
      </x:c>
      <x:c r="E12" s="42" t="n">
        <x:v>4</x:v>
      </x:c>
      <x:c r="F12" s="42" t="n">
        <x:v>0</x:v>
      </x:c>
      <x:c r="G12" s="42" t="str">
        <x:v>VALID</x:v>
      </x:c>
      <x:c r="H12" s="39"/>
      <x:c r="I12" s="39" t="str">
        <x:v>IMPORT</x:v>
      </x:c>
    </x:row>
    <x:row r="13">
      <x:c r="A13" s="39" t="str">
        <x:v>2026-08-15</x:v>
      </x:c>
      <x:c r="B13" s="42" t="n">
        <x:v>1</x:v>
      </x:c>
      <x:c r="C13" s="42" t="str">
        <x:v>260815</x:v>
      </x:c>
      <x:c r="D13" s="42" t="n">
        <x:v>2</x:v>
      </x:c>
      <x:c r="E13" s="42" t="n">
        <x:v>7</x:v>
      </x:c>
      <x:c r="F13" s="42" t="n">
        <x:v>0</x:v>
      </x:c>
      <x:c r="G13" s="42" t="str">
        <x:v>VALID</x:v>
      </x:c>
      <x:c r="H13" s="39"/>
      <x:c r="I13" s="39" t="str">
        <x:v>IMPORT</x:v>
      </x:c>
    </x:row>
    <x:row r="14">
      <x:c r="A14" s="39" t="str">
        <x:v>2026-08-15</x:v>
      </x:c>
      <x:c r="B14" s="42" t="n">
        <x:v>2</x:v>
      </x:c>
      <x:c r="C14" s="42" t="str">
        <x:v>260815</x:v>
      </x:c>
      <x:c r="D14" s="42" t="n">
        <x:v>3</x:v>
      </x:c>
      <x:c r="E14" s="42" t="n">
        <x:v>7</x:v>
      </x:c>
      <x:c r="F14" s="42" t="n">
        <x:v>0</x:v>
      </x:c>
      <x:c r="G14" s="42" t="str">
        <x:v>VALID</x:v>
      </x:c>
      <x:c r="H14" s="39"/>
      <x:c r="I14" s="39" t="str">
        <x:v>IMPORT</x:v>
      </x:c>
    </x:row>
    <x:row r="15">
      <x:c r="A15" s="39" t="str">
        <x:v>2026-08-15</x:v>
      </x:c>
      <x:c r="B15" s="42" t="n">
        <x:v>3</x:v>
      </x:c>
      <x:c r="C15" s="42" t="str">
        <x:v>260815</x:v>
      </x:c>
      <x:c r="D15" s="42" t="n">
        <x:v>4</x:v>
      </x:c>
      <x:c r="E15" s="42" t="n">
        <x:v>7</x:v>
      </x:c>
      <x:c r="F15" s="42" t="n">
        <x:v>0</x:v>
      </x:c>
      <x:c r="G15" s="42" t="str">
        <x:v>VALID</x:v>
      </x:c>
      <x:c r="H15" s="39"/>
      <x:c r="I15" s="39" t="str">
        <x:v>IMPORT</x:v>
      </x:c>
    </x:row>
    <x:row r="16">
      <x:c r="A16" s="39" t="str">
        <x:v>2026-08-15</x:v>
      </x:c>
      <x:c r="B16" s="42" t="n">
        <x:v>4</x:v>
      </x:c>
      <x:c r="C16" s="42" t="str">
        <x:v>260815</x:v>
      </x:c>
      <x:c r="D16" s="42" t="n">
        <x:v>5</x:v>
      </x:c>
      <x:c r="E16" s="42" t="n">
        <x:v>7</x:v>
      </x:c>
      <x:c r="F16" s="42" t="n">
        <x:v>0</x:v>
      </x:c>
      <x:c r="G16" s="42" t="str">
        <x:v>VALID</x:v>
      </x:c>
      <x:c r="H16" s="39"/>
      <x:c r="I16" s="39" t="str">
        <x:v>IMPORT</x:v>
      </x:c>
    </x:row>
    <x:row r="17">
      <x:c r="A17" s="39" t="str">
        <x:v>2026-08-15</x:v>
      </x:c>
      <x:c r="B17" s="42" t="n">
        <x:v>5</x:v>
      </x:c>
      <x:c r="C17" s="42" t="str">
        <x:v>260815</x:v>
      </x:c>
      <x:c r="D17" s="42" t="n">
        <x:v>6</x:v>
      </x:c>
      <x:c r="E17" s="42" t="n">
        <x:v>7</x:v>
      </x:c>
      <x:c r="F17" s="42" t="n">
        <x:v>0</x:v>
      </x:c>
      <x:c r="G17" s="42" t="str">
        <x:v>VALID</x:v>
      </x:c>
      <x:c r="H17" s="39"/>
      <x:c r="I17" s="39" t="str">
        <x:v>IMPORT</x:v>
      </x:c>
    </x:row>
    <x:row r="18">
      <x:c r="A18" s="39" t="str">
        <x:v>2026-08-15</x:v>
      </x:c>
      <x:c r="B18" s="42" t="n">
        <x:v>6</x:v>
      </x:c>
      <x:c r="C18" s="42" t="str">
        <x:v>260815</x:v>
      </x:c>
      <x:c r="D18" s="42" t="n">
        <x:v>7</x:v>
      </x:c>
      <x:c r="E18" s="42" t="n">
        <x:v>7</x:v>
      </x:c>
      <x:c r="F18" s="42" t="n">
        <x:v>0</x:v>
      </x:c>
      <x:c r="G18" s="42" t="str">
        <x:v>VALID</x:v>
      </x:c>
      <x:c r="H18" s="39"/>
      <x:c r="I18" s="39" t="str">
        <x:v>IMPORT</x:v>
      </x:c>
    </x:row>
    <x:row r="19">
      <x:c r="A19" s="39" t="str">
        <x:v>2026-08-15</x:v>
      </x:c>
      <x:c r="B19" s="42" t="n">
        <x:v>7</x:v>
      </x:c>
      <x:c r="C19" s="42" t="str">
        <x:v>260815</x:v>
      </x:c>
      <x:c r="D19" s="42" t="n">
        <x:v>8</x:v>
      </x:c>
      <x:c r="E19" s="42" t="n">
        <x:v>7</x:v>
      </x:c>
      <x:c r="F19" s="42" t="n">
        <x:v>0</x:v>
      </x:c>
      <x:c r="G19" s="42" t="str">
        <x:v>VALID</x:v>
      </x:c>
      <x:c r="H19" s="39"/>
      <x:c r="I19" s="39" t="str">
        <x:v>IMPORT</x:v>
      </x:c>
    </x:row>
    <x:row r="20">
      <x:c r="A20" s="39" t="str">
        <x:v>2026-08-15</x:v>
      </x:c>
      <x:c r="B20" s="42" t="n">
        <x:v>8</x:v>
      </x:c>
      <x:c r="C20" s="42" t="str">
        <x:v>260815</x:v>
      </x:c>
      <x:c r="D20" s="42" t="n">
        <x:v>9</x:v>
      </x:c>
      <x:c r="E20" s="42" t="n">
        <x:v>7</x:v>
      </x:c>
      <x:c r="F20" s="42" t="n">
        <x:v>0</x:v>
      </x:c>
      <x:c r="G20" s="42" t="str">
        <x:v>VALID</x:v>
      </x:c>
      <x:c r="H20" s="39"/>
      <x:c r="I20" s="39" t="str">
        <x:v>IMPORT</x:v>
      </x:c>
    </x:row>
    <x:row r="21">
      <x:c r="A21" s="39" t="str">
        <x:v>2026-08-15</x:v>
      </x:c>
      <x:c r="B21" s="42" t="n">
        <x:v>9</x:v>
      </x:c>
      <x:c r="C21" s="42" t="str">
        <x:v>260815</x:v>
      </x:c>
      <x:c r="D21" s="42" t="n">
        <x:v>10</x:v>
      </x:c>
      <x:c r="E21" s="42" t="n">
        <x:v>7</x:v>
      </x:c>
      <x:c r="F21" s="42" t="n">
        <x:v>0</x:v>
      </x:c>
      <x:c r="G21" s="42" t="str">
        <x:v>VALID</x:v>
      </x:c>
      <x:c r="H21" s="39"/>
      <x:c r="I21" s="39" t="str">
        <x:v>IMPORT</x:v>
      </x:c>
    </x:row>
    <x:row r="22">
      <x:c r="A22" s="39" t="str">
        <x:v>2026-08-15</x:v>
      </x:c>
      <x:c r="B22" s="42" t="n">
        <x:v>10</x:v>
      </x:c>
      <x:c r="C22" s="42" t="str">
        <x:v>260815</x:v>
      </x:c>
      <x:c r="D22" s="42" t="n">
        <x:v>11</x:v>
      </x:c>
      <x:c r="E22" s="42" t="n">
        <x:v>7</x:v>
      </x:c>
      <x:c r="F22" s="42" t="n">
        <x:v>-0.5</x:v>
      </x:c>
      <x:c r="G22" s="42" t="str">
        <x:v>WARNING</x:v>
      </x:c>
      <x:c r="H22" s="39"/>
      <x:c r="I22" s="39" t="str">
        <x:v>REVIEW</x:v>
      </x:c>
    </x:row>
    <x:row r="23">
      <x:c r="A23" s="39" t="str">
        <x:v>2026-08-15</x:v>
      </x:c>
      <x:c r="B23" s="42" t="n">
        <x:v>11</x:v>
      </x:c>
      <x:c r="C23" s="42" t="str">
        <x:v>260815</x:v>
      </x:c>
      <x:c r="D23" s="42" t="n">
        <x:v>12</x:v>
      </x:c>
      <x:c r="E23" s="42" t="n">
        <x:v>7</x:v>
      </x:c>
      <x:c r="F23" s="42" t="n">
        <x:v>0</x:v>
      </x:c>
      <x:c r="G23" s="42" t="str">
        <x:v>VALID</x:v>
      </x:c>
      <x:c r="H23" s="39" t="str">
        <x:v>涼麵</x:v>
      </x:c>
      <x:c r="I23" s="39" t="str">
        <x:v>IMPORT</x:v>
      </x:c>
    </x:row>
    <x:row r="24">
      <x:c r="A24" s="39" t="str">
        <x:v>2026-08-15</x:v>
      </x:c>
      <x:c r="B24" s="42" t="n">
        <x:v>12</x:v>
      </x:c>
      <x:c r="C24" s="42" t="str">
        <x:v>260815</x:v>
      </x:c>
      <x:c r="D24" s="42" t="n">
        <x:v>13</x:v>
      </x:c>
      <x:c r="E24" s="42" t="n">
        <x:v>7</x:v>
      </x:c>
      <x:c r="F24" s="42" t="n">
        <x:v>0</x:v>
      </x:c>
      <x:c r="G24" s="42" t="str">
        <x:v>VALID</x:v>
      </x:c>
      <x:c r="H24" s="39"/>
      <x:c r="I24" s="39" t="str">
        <x:v>IMPORT</x:v>
      </x:c>
    </x:row>
    <x:row r="25">
      <x:c r="A25" s="39" t="str">
        <x:v>2026-08-15</x:v>
      </x:c>
      <x:c r="B25" s="42" t="n">
        <x:v>13</x:v>
      </x:c>
      <x:c r="C25" s="42" t="str">
        <x:v>260815</x:v>
      </x:c>
      <x:c r="D25" s="42" t="n">
        <x:v>14</x:v>
      </x:c>
      <x:c r="E25" s="42" t="n">
        <x:v>7</x:v>
      </x:c>
      <x:c r="F25" s="42" t="n">
        <x:v>0</x:v>
      </x:c>
      <x:c r="G25" s="42" t="str">
        <x:v>VALID</x:v>
      </x:c>
      <x:c r="H25" s="39"/>
      <x:c r="I25" s="39" t="str">
        <x:v>IMPORT</x:v>
      </x:c>
    </x:row>
    <x:row r="26">
      <x:c r="A26" s="39" t="str">
        <x:v>2026-08-15</x:v>
      </x:c>
      <x:c r="B26" s="42" t="n">
        <x:v>14</x:v>
      </x:c>
      <x:c r="C26" s="42" t="str">
        <x:v>260815</x:v>
      </x:c>
      <x:c r="D26" s="42" t="n">
        <x:v>15</x:v>
      </x:c>
      <x:c r="E26" s="42" t="n">
        <x:v>7</x:v>
      </x:c>
      <x:c r="F26" s="42" t="n">
        <x:v>0</x:v>
      </x:c>
      <x:c r="G26" s="42" t="str">
        <x:v>VALID</x:v>
      </x:c>
      <x:c r="H26" s="39"/>
      <x:c r="I26" s="39" t="str">
        <x:v>IMPORT</x:v>
      </x:c>
    </x:row>
    <x:row r="27">
      <x:c r="A27" s="39" t="str">
        <x:v>2026-08-29</x:v>
      </x:c>
      <x:c r="B27" s="42" t="n">
        <x:v>1</x:v>
      </x:c>
      <x:c r="C27" s="42" t="str">
        <x:v>260829</x:v>
      </x:c>
      <x:c r="D27" s="42" t="n">
        <x:v>2</x:v>
      </x:c>
      <x:c r="E27" s="42" t="n">
        <x:v>4</x:v>
      </x:c>
      <x:c r="F27" s="42" t="n">
        <x:v>0</x:v>
      </x:c>
      <x:c r="G27" s="42" t="str">
        <x:v>VALID</x:v>
      </x:c>
      <x:c r="H27" s="39"/>
      <x:c r="I27" s="39" t="str">
        <x:v>IMPORT</x:v>
      </x:c>
    </x:row>
    <x:row r="28">
      <x:c r="A28" s="39" t="str">
        <x:v>2026-08-29</x:v>
      </x:c>
      <x:c r="B28" s="42" t="n">
        <x:v>2</x:v>
      </x:c>
      <x:c r="C28" s="42" t="str">
        <x:v>260829</x:v>
      </x:c>
      <x:c r="D28" s="42" t="n">
        <x:v>3</x:v>
      </x:c>
      <x:c r="E28" s="42" t="n">
        <x:v>6</x:v>
      </x:c>
      <x:c r="F28" s="42" t="n">
        <x:v>0</x:v>
      </x:c>
      <x:c r="G28" s="42" t="str">
        <x:v>VALID</x:v>
      </x:c>
      <x:c r="H28" s="39"/>
      <x:c r="I28" s="39" t="str">
        <x:v>IMPORT</x:v>
      </x:c>
    </x:row>
    <x:row r="29">
      <x:c r="A29" s="39" t="str">
        <x:v>2026-08-29</x:v>
      </x:c>
      <x:c r="B29" s="42" t="n">
        <x:v>3</x:v>
      </x:c>
      <x:c r="C29" s="42" t="str">
        <x:v>260829</x:v>
      </x:c>
      <x:c r="D29" s="42" t="n">
        <x:v>4</x:v>
      </x:c>
      <x:c r="E29" s="42" t="n">
        <x:v>6</x:v>
      </x:c>
      <x:c r="F29" s="42" t="n">
        <x:v>0</x:v>
      </x:c>
      <x:c r="G29" s="42" t="str">
        <x:v>VALID</x:v>
      </x:c>
      <x:c r="H29" s="39"/>
      <x:c r="I29" s="39" t="str">
        <x:v>IMPORT</x:v>
      </x:c>
    </x:row>
    <x:row r="30">
      <x:c r="A30" s="39" t="str">
        <x:v>2026-08-29</x:v>
      </x:c>
      <x:c r="B30" s="42" t="n">
        <x:v>4</x:v>
      </x:c>
      <x:c r="C30" s="42" t="str">
        <x:v>260829</x:v>
      </x:c>
      <x:c r="D30" s="42" t="n">
        <x:v>5</x:v>
      </x:c>
      <x:c r="E30" s="42" t="n">
        <x:v>6</x:v>
      </x:c>
      <x:c r="F30" s="42" t="n">
        <x:v>0</x:v>
      </x:c>
      <x:c r="G30" s="42" t="str">
        <x:v>VALID</x:v>
      </x:c>
      <x:c r="H30" s="39"/>
      <x:c r="I30" s="39" t="str">
        <x:v>IMPORT</x:v>
      </x:c>
    </x:row>
    <x:row r="31">
      <x:c r="A31" s="39" t="str">
        <x:v>2026-08-29</x:v>
      </x:c>
      <x:c r="B31" s="42" t="n">
        <x:v>5</x:v>
      </x:c>
      <x:c r="C31" s="42" t="str">
        <x:v>260829</x:v>
      </x:c>
      <x:c r="D31" s="42" t="n">
        <x:v>6</x:v>
      </x:c>
      <x:c r="E31" s="42" t="n">
        <x:v>6</x:v>
      </x:c>
      <x:c r="F31" s="42" t="n">
        <x:v>0</x:v>
      </x:c>
      <x:c r="G31" s="42" t="str">
        <x:v>VALID</x:v>
      </x:c>
      <x:c r="H31" s="39"/>
      <x:c r="I31" s="39" t="str">
        <x:v>IMPORT</x:v>
      </x:c>
    </x:row>
    <x:row r="32">
      <x:c r="A32" s="39" t="str">
        <x:v>2026-08-29</x:v>
      </x:c>
      <x:c r="B32" s="42" t="n">
        <x:v>6</x:v>
      </x:c>
      <x:c r="C32" s="42" t="str">
        <x:v>260829</x:v>
      </x:c>
      <x:c r="D32" s="42" t="n">
        <x:v>7</x:v>
      </x:c>
      <x:c r="E32" s="42" t="n">
        <x:v>6</x:v>
      </x:c>
      <x:c r="F32" s="42" t="n">
        <x:v>0</x:v>
      </x:c>
      <x:c r="G32" s="42" t="str">
        <x:v>VALID</x:v>
      </x:c>
      <x:c r="H32" s="39"/>
      <x:c r="I32" s="39" t="str">
        <x:v>IMPORT</x:v>
      </x:c>
    </x:row>
    <x:row r="33">
      <x:c r="A33" s="39" t="str">
        <x:v>2026-08-29</x:v>
      </x:c>
      <x:c r="B33" s="42" t="n">
        <x:v>7</x:v>
      </x:c>
      <x:c r="C33" s="42" t="str">
        <x:v>260829</x:v>
      </x:c>
      <x:c r="D33" s="42" t="n">
        <x:v>8</x:v>
      </x:c>
      <x:c r="E33" s="42" t="n">
        <x:v>6</x:v>
      </x:c>
      <x:c r="F33" s="42" t="n">
        <x:v>0</x:v>
      </x:c>
      <x:c r="G33" s="42" t="str">
        <x:v>VALID</x:v>
      </x:c>
      <x:c r="H33" s="39"/>
      <x:c r="I33" s="39" t="str">
        <x:v>IMPORT</x:v>
      </x:c>
    </x:row>
    <x:row r="34">
      <x:c r="A34" s="39" t="str">
        <x:v>2026-08-29</x:v>
      </x:c>
      <x:c r="B34" s="42" t="n">
        <x:v>8</x:v>
      </x:c>
      <x:c r="C34" s="42" t="str">
        <x:v>260829</x:v>
      </x:c>
      <x:c r="D34" s="42" t="n">
        <x:v>9</x:v>
      </x:c>
      <x:c r="E34" s="42" t="n">
        <x:v>6</x:v>
      </x:c>
      <x:c r="F34" s="42" t="n">
        <x:v>0</x:v>
      </x:c>
      <x:c r="G34" s="42" t="str">
        <x:v>VALID</x:v>
      </x:c>
      <x:c r="H34" s="39"/>
      <x:c r="I34" s="39" t="str">
        <x:v>IMPORT</x:v>
      </x:c>
    </x:row>
    <x:row r="35">
      <x:c r="A35" s="39" t="str">
        <x:v>2026-08-29</x:v>
      </x:c>
      <x:c r="B35" s="42" t="n">
        <x:v>9</x:v>
      </x:c>
      <x:c r="C35" s="42" t="str">
        <x:v>260829</x:v>
      </x:c>
      <x:c r="D35" s="42" t="n">
        <x:v>10</x:v>
      </x:c>
      <x:c r="E35" s="42" t="n">
        <x:v>6</x:v>
      </x:c>
      <x:c r="F35" s="42" t="n">
        <x:v>0</x:v>
      </x:c>
      <x:c r="G35" s="42" t="str">
        <x:v>VALID</x:v>
      </x:c>
      <x:c r="H35" s="39"/>
      <x:c r="I35" s="39" t="str">
        <x:v>IMPORT</x:v>
      </x:c>
    </x:row>
    <x:row r="36">
      <x:c r="A36" s="39" t="str">
        <x:v>2026-08-29</x:v>
      </x:c>
      <x:c r="B36" s="42" t="n">
        <x:v>10</x:v>
      </x:c>
      <x:c r="C36" s="42" t="str">
        <x:v>260829</x:v>
      </x:c>
      <x:c r="D36" s="42" t="n">
        <x:v>11</x:v>
      </x:c>
      <x:c r="E36" s="42" t="n">
        <x:v>6</x:v>
      </x:c>
      <x:c r="F36" s="42" t="n">
        <x:v>0</x:v>
      </x:c>
      <x:c r="G36" s="42" t="str">
        <x:v>VALID</x:v>
      </x:c>
      <x:c r="H36" s="39"/>
      <x:c r="I36" s="39" t="str">
        <x:v>IMPORT</x:v>
      </x:c>
    </x:row>
    <x:row r="37">
      <x:c r="A37" s="39" t="str">
        <x:v>2026-08-29</x:v>
      </x:c>
      <x:c r="B37" s="42" t="n">
        <x:v>11</x:v>
      </x:c>
      <x:c r="C37" s="42" t="str">
        <x:v>260829</x:v>
      </x:c>
      <x:c r="D37" s="42" t="n">
        <x:v>12</x:v>
      </x:c>
      <x:c r="E37" s="42" t="n">
        <x:v>8</x:v>
      </x:c>
      <x:c r="F37" s="42" t="n">
        <x:v>0</x:v>
      </x:c>
      <x:c r="G37" s="42" t="str">
        <x:v>VALID</x:v>
      </x:c>
      <x:c r="H37" s="39"/>
      <x:c r="I37" s="39" t="str">
        <x:v>IMPORT</x:v>
      </x:c>
    </x:row>
    <x:row r="38">
      <x:c r="A38" s="39" t="str">
        <x:v>2026-08-29</x:v>
      </x:c>
      <x:c r="B38" s="42" t="n">
        <x:v>12</x:v>
      </x:c>
      <x:c r="C38" s="42" t="str">
        <x:v>260829</x:v>
      </x:c>
      <x:c r="D38" s="42" t="n">
        <x:v>13</x:v>
      </x:c>
      <x:c r="E38" s="42" t="n">
        <x:v>7</x:v>
      </x:c>
      <x:c r="F38" s="42" t="n">
        <x:v>0</x:v>
      </x:c>
      <x:c r="G38" s="42" t="str">
        <x:v>VALID</x:v>
      </x:c>
      <x:c r="H38" s="39"/>
      <x:c r="I38" s="39" t="str">
        <x:v>IMPORT</x:v>
      </x:c>
    </x:row>
    <x:row r="39">
      <x:c r="A39" s="39" t="str">
        <x:v>2026-09-12</x:v>
      </x:c>
      <x:c r="B39" s="42" t="n">
        <x:v>1</x:v>
      </x:c>
      <x:c r="C39" s="42" t="str">
        <x:v>260912</x:v>
      </x:c>
      <x:c r="D39" s="42" t="n">
        <x:v>2</x:v>
      </x:c>
      <x:c r="E39" s="42" t="n">
        <x:v>5</x:v>
      </x:c>
      <x:c r="F39" s="42" t="n">
        <x:v>0</x:v>
      </x:c>
      <x:c r="G39" s="42" t="str">
        <x:v>VALID</x:v>
      </x:c>
      <x:c r="H39" s="39"/>
      <x:c r="I39" s="39" t="str">
        <x:v>IMPORT</x:v>
      </x:c>
    </x:row>
    <x:row r="40">
      <x:c r="A40" s="39" t="str">
        <x:v>2026-09-12</x:v>
      </x:c>
      <x:c r="B40" s="42" t="n">
        <x:v>2</x:v>
      </x:c>
      <x:c r="C40" s="42" t="str">
        <x:v>260912</x:v>
      </x:c>
      <x:c r="D40" s="42" t="n">
        <x:v>3</x:v>
      </x:c>
      <x:c r="E40" s="42" t="n">
        <x:v>7</x:v>
      </x:c>
      <x:c r="F40" s="42" t="n">
        <x:v>0</x:v>
      </x:c>
      <x:c r="G40" s="42" t="str">
        <x:v>VALID</x:v>
      </x:c>
      <x:c r="H40" s="39"/>
      <x:c r="I40" s="39" t="str">
        <x:v>IMPORT</x:v>
      </x:c>
    </x:row>
    <x:row r="41">
      <x:c r="A41" s="39" t="str">
        <x:v>2026-09-12</x:v>
      </x:c>
      <x:c r="B41" s="42" t="n">
        <x:v>3</x:v>
      </x:c>
      <x:c r="C41" s="42" t="str">
        <x:v>260912</x:v>
      </x:c>
      <x:c r="D41" s="42" t="n">
        <x:v>4</x:v>
      </x:c>
      <x:c r="E41" s="42" t="n">
        <x:v>7</x:v>
      </x:c>
      <x:c r="F41" s="42" t="n">
        <x:v>0</x:v>
      </x:c>
      <x:c r="G41" s="42" t="str">
        <x:v>VALID</x:v>
      </x:c>
      <x:c r="H41" s="39"/>
      <x:c r="I41" s="39" t="str">
        <x:v>IMPORT</x:v>
      </x:c>
    </x:row>
    <x:row r="42">
      <x:c r="A42" s="39" t="str">
        <x:v>2026-09-12</x:v>
      </x:c>
      <x:c r="B42" s="42" t="n">
        <x:v>4</x:v>
      </x:c>
      <x:c r="C42" s="42" t="str">
        <x:v>260912</x:v>
      </x:c>
      <x:c r="D42" s="42" t="n">
        <x:v>5</x:v>
      </x:c>
      <x:c r="E42" s="42" t="n">
        <x:v>7</x:v>
      </x:c>
      <x:c r="F42" s="42" t="n">
        <x:v>0</x:v>
      </x:c>
      <x:c r="G42" s="42" t="str">
        <x:v>VALID</x:v>
      </x:c>
      <x:c r="H42" s="39"/>
      <x:c r="I42" s="39" t="str">
        <x:v>IMPORT</x:v>
      </x:c>
    </x:row>
    <x:row r="43">
      <x:c r="A43" s="39" t="str">
        <x:v>2026-09-12</x:v>
      </x:c>
      <x:c r="B43" s="42" t="n">
        <x:v>5</x:v>
      </x:c>
      <x:c r="C43" s="42" t="str">
        <x:v>260912</x:v>
      </x:c>
      <x:c r="D43" s="42" t="n">
        <x:v>6</x:v>
      </x:c>
      <x:c r="E43" s="42" t="n">
        <x:v>6</x:v>
      </x:c>
      <x:c r="F43" s="42" t="n">
        <x:v>0</x:v>
      </x:c>
      <x:c r="G43" s="42" t="str">
        <x:v>VALID</x:v>
      </x:c>
      <x:c r="H43" s="39"/>
      <x:c r="I43" s="39" t="str">
        <x:v>IMPORT</x:v>
      </x:c>
    </x:row>
    <x:row r="44">
      <x:c r="A44" s="39" t="str">
        <x:v>2026-09-12</x:v>
      </x:c>
      <x:c r="B44" s="42" t="n">
        <x:v>6</x:v>
      </x:c>
      <x:c r="C44" s="42" t="str">
        <x:v>260912</x:v>
      </x:c>
      <x:c r="D44" s="42" t="n">
        <x:v>7</x:v>
      </x:c>
      <x:c r="E44" s="42" t="n">
        <x:v>7</x:v>
      </x:c>
      <x:c r="F44" s="42" t="n">
        <x:v>0</x:v>
      </x:c>
      <x:c r="G44" s="42" t="str">
        <x:v>VALID</x:v>
      </x:c>
      <x:c r="H44" s="39"/>
      <x:c r="I44" s="39" t="str">
        <x:v>IMPORT</x:v>
      </x:c>
    </x:row>
    <x:row r="45">
      <x:c r="A45" s="39" t="str">
        <x:v>2026-09-12</x:v>
      </x:c>
      <x:c r="B45" s="42" t="n">
        <x:v>7</x:v>
      </x:c>
      <x:c r="C45" s="42" t="str">
        <x:v>260912</x:v>
      </x:c>
      <x:c r="D45" s="42" t="n">
        <x:v>8</x:v>
      </x:c>
      <x:c r="E45" s="42" t="n">
        <x:v>7</x:v>
      </x:c>
      <x:c r="F45" s="42" t="n">
        <x:v>0</x:v>
      </x:c>
      <x:c r="G45" s="42" t="str">
        <x:v>VALID</x:v>
      </x:c>
      <x:c r="H45" s="39"/>
      <x:c r="I45" s="39" t="str">
        <x:v>IMPORT</x:v>
      </x:c>
    </x:row>
    <x:row r="46">
      <x:c r="A46" s="39" t="str">
        <x:v>2026-09-12</x:v>
      </x:c>
      <x:c r="B46" s="42" t="n">
        <x:v>8</x:v>
      </x:c>
      <x:c r="C46" s="42" t="str">
        <x:v>260912</x:v>
      </x:c>
      <x:c r="D46" s="42" t="n">
        <x:v>9</x:v>
      </x:c>
      <x:c r="E46" s="42" t="n">
        <x:v>5</x:v>
      </x:c>
      <x:c r="F46" s="42" t="n">
        <x:v>0</x:v>
      </x:c>
      <x:c r="G46" s="42" t="str">
        <x:v>VALID</x:v>
      </x:c>
      <x:c r="H46" s="39"/>
      <x:c r="I46" s="39" t="str">
        <x:v>IMPORT</x:v>
      </x:c>
    </x:row>
    <x:row r="47">
      <x:c r="A47" s="39" t="str">
        <x:v>2026-09-12</x:v>
      </x:c>
      <x:c r="B47" s="42" t="n">
        <x:v>9</x:v>
      </x:c>
      <x:c r="C47" s="42" t="str">
        <x:v>260912</x:v>
      </x:c>
      <x:c r="D47" s="42" t="n">
        <x:v>10</x:v>
      </x:c>
      <x:c r="E47" s="42" t="n">
        <x:v>5</x:v>
      </x:c>
      <x:c r="F47" s="42" t="n">
        <x:v>0</x:v>
      </x:c>
      <x:c r="G47" s="42" t="str">
        <x:v>VALID</x:v>
      </x:c>
      <x:c r="H47" s="39"/>
      <x:c r="I47" s="39" t="str">
        <x:v>IMPORT</x:v>
      </x:c>
    </x:row>
    <x:row r="48">
      <x:c r="A48" s="39" t="str">
        <x:v>2026-09-12</x:v>
      </x:c>
      <x:c r="B48" s="42" t="n">
        <x:v>10</x:v>
      </x:c>
      <x:c r="C48" s="42" t="str">
        <x:v>260912</x:v>
      </x:c>
      <x:c r="D48" s="42" t="n">
        <x:v>13</x:v>
      </x:c>
      <x:c r="E48" s="42" t="n">
        <x:v>2</x:v>
      </x:c>
      <x:c r="F48" s="42" t="n">
        <x:v>0</x:v>
      </x:c>
      <x:c r="G48" s="42" t="str">
        <x:v>VALID</x:v>
      </x:c>
      <x:c r="H48" s="39"/>
      <x:c r="I48" s="39" t="str">
        <x:v>IMPORT</x:v>
      </x:c>
    </x:row>
    <x:row r="49">
      <x:c r="A49" s="39" t="str">
        <x:v>2026-09-26</x:v>
      </x:c>
      <x:c r="B49" s="42" t="n">
        <x:v>1</x:v>
      </x:c>
      <x:c r="C49" s="42" t="str">
        <x:v>260926</x:v>
      </x:c>
      <x:c r="D49" s="42" t="n">
        <x:v>2</x:v>
      </x:c>
      <x:c r="E49" s="42" t="n">
        <x:v>2</x:v>
      </x:c>
      <x:c r="F49" s="42" t="n">
        <x:v>0</x:v>
      </x:c>
      <x:c r="G49" s="42" t="str">
        <x:v>VALID</x:v>
      </x:c>
      <x:c r="H49" s="39"/>
      <x:c r="I49" s="39" t="str">
        <x:v>IMPORT</x:v>
      </x:c>
    </x:row>
    <x:row r="50">
      <x:c r="A50" s="39" t="str">
        <x:v>2026-09-26</x:v>
      </x:c>
      <x:c r="B50" s="42" t="n">
        <x:v>2</x:v>
      </x:c>
      <x:c r="C50" s="42" t="str">
        <x:v>260926</x:v>
      </x:c>
      <x:c r="D50" s="42" t="n">
        <x:v>3</x:v>
      </x:c>
      <x:c r="E50" s="42" t="n">
        <x:v>5</x:v>
      </x:c>
      <x:c r="F50" s="42" t="n">
        <x:v>0</x:v>
      </x:c>
      <x:c r="G50" s="42" t="str">
        <x:v>VALID</x:v>
      </x:c>
      <x:c r="H50" s="39"/>
      <x:c r="I50" s="39" t="str">
        <x:v>IMPORT</x:v>
      </x:c>
    </x:row>
    <x:row r="51">
      <x:c r="A51" s="39" t="str">
        <x:v>2026-09-26</x:v>
      </x:c>
      <x:c r="B51" s="42" t="n">
        <x:v>3</x:v>
      </x:c>
      <x:c r="C51" s="42" t="str">
        <x:v>260926</x:v>
      </x:c>
      <x:c r="D51" s="42" t="n">
        <x:v>4</x:v>
      </x:c>
      <x:c r="E51" s="42" t="n">
        <x:v>5</x:v>
      </x:c>
      <x:c r="F51" s="42" t="n">
        <x:v>0</x:v>
      </x:c>
      <x:c r="G51" s="42" t="str">
        <x:v>VALID</x:v>
      </x:c>
      <x:c r="H51" s="39"/>
      <x:c r="I51" s="39" t="str">
        <x:v>IMPORT</x:v>
      </x:c>
    </x:row>
    <x:row r="52">
      <x:c r="A52" s="39" t="str">
        <x:v>2026-09-26</x:v>
      </x:c>
      <x:c r="B52" s="42" t="n">
        <x:v>4</x:v>
      </x:c>
      <x:c r="C52" s="42" t="str">
        <x:v>260926</x:v>
      </x:c>
      <x:c r="D52" s="42" t="n">
        <x:v>5</x:v>
      </x:c>
      <x:c r="E52" s="42" t="n">
        <x:v>3</x:v>
      </x:c>
      <x:c r="F52" s="42" t="n">
        <x:v>0</x:v>
      </x:c>
      <x:c r="G52" s="42" t="str">
        <x:v>VALID</x:v>
      </x:c>
      <x:c r="H52" s="39"/>
      <x:c r="I52" s="39" t="str">
        <x:v>IMPORT</x:v>
      </x:c>
    </x:row>
    <x:row r="53">
      <x:c r="A53" s="39" t="str">
        <x:v>2026-09-26</x:v>
      </x:c>
      <x:c r="B53" s="42" t="n">
        <x:v>5</x:v>
      </x:c>
      <x:c r="C53" s="42" t="str">
        <x:v>260926</x:v>
      </x:c>
      <x:c r="D53" s="42" t="n">
        <x:v>6</x:v>
      </x:c>
      <x:c r="E53" s="42" t="n">
        <x:v>6</x:v>
      </x:c>
      <x:c r="F53" s="42" t="n">
        <x:v>0</x:v>
      </x:c>
      <x:c r="G53" s="42" t="str">
        <x:v>VALID</x:v>
      </x:c>
      <x:c r="H53" s="39"/>
      <x:c r="I53" s="39" t="str">
        <x:v>IMPORT</x:v>
      </x:c>
    </x:row>
    <x:row r="54">
      <x:c r="A54" s="39" t="str">
        <x:v>2026-09-26</x:v>
      </x:c>
      <x:c r="B54" s="42" t="n">
        <x:v>6</x:v>
      </x:c>
      <x:c r="C54" s="42" t="str">
        <x:v>260926</x:v>
      </x:c>
      <x:c r="D54" s="42" t="n">
        <x:v>7</x:v>
      </x:c>
      <x:c r="E54" s="42" t="n">
        <x:v>7</x:v>
      </x:c>
      <x:c r="F54" s="42" t="n">
        <x:v>0</x:v>
      </x:c>
      <x:c r="G54" s="42" t="str">
        <x:v>VALID</x:v>
      </x:c>
      <x:c r="H54" s="39"/>
      <x:c r="I54" s="39" t="str">
        <x:v>IMPORT</x:v>
      </x:c>
    </x:row>
    <x:row r="55">
      <x:c r="A55" s="39" t="str">
        <x:v>2026-09-26</x:v>
      </x:c>
      <x:c r="B55" s="42" t="n">
        <x:v>7</x:v>
      </x:c>
      <x:c r="C55" s="42" t="str">
        <x:v>260926</x:v>
      </x:c>
      <x:c r="D55" s="42" t="n">
        <x:v>8</x:v>
      </x:c>
      <x:c r="E55" s="42" t="n">
        <x:v>7</x:v>
      </x:c>
      <x:c r="F55" s="42" t="n">
        <x:v>0</x:v>
      </x:c>
      <x:c r="G55" s="42" t="str">
        <x:v>VALID</x:v>
      </x:c>
      <x:c r="H55" s="39"/>
      <x:c r="I55" s="39" t="str">
        <x:v>IMPORT</x:v>
      </x:c>
    </x:row>
    <x:row r="56">
      <x:c r="A56" s="39" t="str">
        <x:v>2026-09-26</x:v>
      </x:c>
      <x:c r="B56" s="42" t="n">
        <x:v>8</x:v>
      </x:c>
      <x:c r="C56" s="42" t="str">
        <x:v>260926</x:v>
      </x:c>
      <x:c r="D56" s="42" t="n">
        <x:v>9</x:v>
      </x:c>
      <x:c r="E56" s="42" t="n">
        <x:v>7</x:v>
      </x:c>
      <x:c r="F56" s="42" t="n">
        <x:v>0</x:v>
      </x:c>
      <x:c r="G56" s="42" t="str">
        <x:v>VALID</x:v>
      </x:c>
      <x:c r="H56" s="39"/>
      <x:c r="I56" s="39" t="str">
        <x:v>IMPORT</x:v>
      </x:c>
    </x:row>
    <x:row r="57">
      <x:c r="A57" s="39" t="str">
        <x:v>2026-09-26</x:v>
      </x:c>
      <x:c r="B57" s="42" t="n">
        <x:v>9</x:v>
      </x:c>
      <x:c r="C57" s="42" t="str">
        <x:v>260926</x:v>
      </x:c>
      <x:c r="D57" s="42" t="n">
        <x:v>10</x:v>
      </x:c>
      <x:c r="E57" s="42" t="n">
        <x:v>4</x:v>
      </x:c>
      <x:c r="F57" s="42" t="n">
        <x:v>0</x:v>
      </x:c>
      <x:c r="G57" s="42" t="str">
        <x:v>VALID</x:v>
      </x:c>
      <x:c r="H57" s="39"/>
      <x:c r="I57" s="39" t="str">
        <x:v>IMPORT</x:v>
      </x:c>
    </x:row>
    <x:row r="58">
      <x:c r="A58" s="39" t="str">
        <x:v>2026-09-26</x:v>
      </x:c>
      <x:c r="B58" s="42" t="n">
        <x:v>10</x:v>
      </x:c>
      <x:c r="C58" s="42" t="str">
        <x:v>260926</x:v>
      </x:c>
      <x:c r="D58" s="42" t="n">
        <x:v>11</x:v>
      </x:c>
      <x:c r="E58" s="42" t="n">
        <x:v>3</x:v>
      </x:c>
      <x:c r="F58" s="42" t="n">
        <x:v>0</x:v>
      </x:c>
      <x:c r="G58" s="42" t="str">
        <x:v>VALID</x:v>
      </x:c>
      <x:c r="H58" s="39"/>
      <x:c r="I58" s="39" t="str">
        <x:v>IMPORT</x:v>
      </x:c>
    </x:row>
    <x:row r="59">
      <x:c r="A59" s="39" t="str">
        <x:v>2026-09-26</x:v>
      </x:c>
      <x:c r="B59" s="42" t="n">
        <x:v>11</x:v>
      </x:c>
      <x:c r="C59" s="42" t="str">
        <x:v>260926</x:v>
      </x:c>
      <x:c r="D59" s="42" t="n">
        <x:v>12</x:v>
      </x:c>
      <x:c r="E59" s="42" t="n">
        <x:v>4</x:v>
      </x:c>
      <x:c r="F59" s="42" t="n">
        <x:v>0</x:v>
      </x:c>
      <x:c r="G59" s="42" t="str">
        <x:v>VALID</x:v>
      </x:c>
      <x:c r="H59" s="39"/>
      <x:c r="I59" s="39" t="str">
        <x:v>IMPORT</x:v>
      </x:c>
    </x:row>
  </x:sheetData>
  <x:conditionalFormatting sqref="G2:G59">
    <x:cfRule type="containsText" dxfId="0" priority="1" operator="containsText" text="WARNING"/>
  </x:conditionalFormatting>
  <x:conditionalFormatting sqref="I2:I59"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2dace1c287d046d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.25" hidden="0" customWidth="1"/>
    <x:col min="3" max="3" width="13.25" hidden="0" customWidth="1"/>
    <x:col min="4" max="4" width="5.5" hidden="0" customWidth="1"/>
    <x:col min="5" max="5" width="12.5" hidden="0" customWidth="1"/>
    <x:col min="6" max="6" width="13.75" hidden="0" customWidth="1"/>
    <x:col min="7" max="7" width="12.380000114440918" hidden="0" customWidth="1"/>
    <x:col min="8" max="8" width="15.130000114440918" hidden="0" customWidth="1"/>
  </x:cols>
  <x:sheetData>
    <x:row r="1">
      <x:c r="A1" s="39" t="str">
        <x:v>game_date</x:v>
      </x:c>
      <x:c r="B1" s="39" t="str">
        <x:v>session_number</x:v>
      </x:c>
      <x:c r="C1" s="39" t="str">
        <x:v>player_name</x:v>
      </x:c>
      <x:c r="D1" s="39" t="str">
        <x:v>pnl</x:v>
      </x:c>
      <x:c r="E1" s="39" t="str">
        <x:v>participated</x:v>
      </x:c>
      <x:c r="F1" s="39" t="str">
        <x:v>source_sheet</x:v>
      </x:c>
      <x:c r="G1" s="39" t="str">
        <x:v>source_row</x:v>
      </x:c>
      <x:c r="H1" s="39" t="str">
        <x:v>session_status</x:v>
      </x:c>
    </x:row>
    <x:row r="2">
      <x:c r="A2" s="39" t="str">
        <x:v>2026-07-25</x:v>
      </x:c>
      <x:c r="B2" s="43" t="n">
        <x:v>1</x:v>
      </x:c>
      <x:c r="C2" s="39" t="str">
        <x:v>強的可怕</x:v>
      </x:c>
      <x:c r="D2" s="42" t="n">
        <x:v>-45</x:v>
      </x:c>
      <x:c r="E2" s="41" t="b">
        <x:v>1</x:v>
      </x:c>
      <x:c r="F2" s="39" t="str">
        <x:v>260725</x:v>
      </x:c>
      <x:c r="G2" s="43" t="n">
        <x:v>2</x:v>
      </x:c>
      <x:c r="H2" s="39" t="str">
        <x:v>VALID</x:v>
      </x:c>
    </x:row>
    <x:row r="3">
      <x:c r="A3" s="39" t="str">
        <x:v>2026-07-25</x:v>
      </x:c>
      <x:c r="B3" s="43" t="n">
        <x:v>1</x:v>
      </x:c>
      <x:c r="C3" s="39" t="str">
        <x:v>KK之王</x:v>
      </x:c>
      <x:c r="D3" s="42" t="n">
        <x:v>-250</x:v>
      </x:c>
      <x:c r="E3" s="41" t="b">
        <x:v>1</x:v>
      </x:c>
      <x:c r="F3" s="39" t="str">
        <x:v>260725</x:v>
      </x:c>
      <x:c r="G3" s="43" t="n">
        <x:v>2</x:v>
      </x:c>
      <x:c r="H3" s="39" t="str">
        <x:v>VALID</x:v>
      </x:c>
    </x:row>
    <x:row r="4">
      <x:c r="A4" s="39" t="str">
        <x:v>2026-07-25</x:v>
      </x:c>
      <x:c r="B4" s="43" t="n">
        <x:v>1</x:v>
      </x:c>
      <x:c r="C4" s="39" t="str">
        <x:v>河牌幹死你</x:v>
      </x:c>
      <x:c r="D4" s="42" t="n">
        <x:v>158</x:v>
      </x:c>
      <x:c r="E4" s="41" t="b">
        <x:v>1</x:v>
      </x:c>
      <x:c r="F4" s="39" t="str">
        <x:v>260725</x:v>
      </x:c>
      <x:c r="G4" s="43" t="n">
        <x:v>2</x:v>
      </x:c>
      <x:c r="H4" s="39" t="str">
        <x:v>VALID</x:v>
      </x:c>
    </x:row>
    <x:row r="5">
      <x:c r="A5" s="39" t="str">
        <x:v>2026-07-25</x:v>
      </x:c>
      <x:c r="B5" s="43" t="n">
        <x:v>1</x:v>
      </x:c>
      <x:c r="C5" s="39" t="str">
        <x:v>淡水金城武</x:v>
      </x:c>
      <x:c r="D5" s="42" t="n">
        <x:v>137</x:v>
      </x:c>
      <x:c r="E5" s="41" t="b">
        <x:v>1</x:v>
      </x:c>
      <x:c r="F5" s="39" t="str">
        <x:v>260725</x:v>
      </x:c>
      <x:c r="G5" s="43" t="n">
        <x:v>2</x:v>
      </x:c>
      <x:c r="H5" s="39" t="str">
        <x:v>VALID</x:v>
      </x:c>
    </x:row>
    <x:row r="6">
      <x:c r="A6" s="39" t="str">
        <x:v>2026-07-25</x:v>
      </x:c>
      <x:c r="B6" s="43" t="n">
        <x:v>2</x:v>
      </x:c>
      <x:c r="C6" s="39" t="str">
        <x:v>強的可怕</x:v>
      </x:c>
      <x:c r="D6" s="42" t="n">
        <x:v>-10</x:v>
      </x:c>
      <x:c r="E6" s="41" t="b">
        <x:v>1</x:v>
      </x:c>
      <x:c r="F6" s="39" t="str">
        <x:v>260725</x:v>
      </x:c>
      <x:c r="G6" s="43" t="n">
        <x:v>3</x:v>
      </x:c>
      <x:c r="H6" s="39" t="str">
        <x:v>WARNING</x:v>
      </x:c>
    </x:row>
    <x:row r="7">
      <x:c r="A7" s="39" t="str">
        <x:v>2026-07-25</x:v>
      </x:c>
      <x:c r="B7" s="43" t="n">
        <x:v>2</x:v>
      </x:c>
      <x:c r="C7" s="39" t="str">
        <x:v>KK之王</x:v>
      </x:c>
      <x:c r="D7" s="42" t="n">
        <x:v>200</x:v>
      </x:c>
      <x:c r="E7" s="41" t="b">
        <x:v>1</x:v>
      </x:c>
      <x:c r="F7" s="39" t="str">
        <x:v>260725</x:v>
      </x:c>
      <x:c r="G7" s="43" t="n">
        <x:v>3</x:v>
      </x:c>
      <x:c r="H7" s="39" t="str">
        <x:v>WARNING</x:v>
      </x:c>
    </x:row>
    <x:row r="8">
      <x:c r="A8" s="39" t="str">
        <x:v>2026-07-25</x:v>
      </x:c>
      <x:c r="B8" s="43" t="n">
        <x:v>2</x:v>
      </x:c>
      <x:c r="C8" s="39" t="str">
        <x:v>河牌幹死你</x:v>
      </x:c>
      <x:c r="D8" s="42" t="n">
        <x:v>-28</x:v>
      </x:c>
      <x:c r="E8" s="41" t="b">
        <x:v>1</x:v>
      </x:c>
      <x:c r="F8" s="39" t="str">
        <x:v>260725</x:v>
      </x:c>
      <x:c r="G8" s="43" t="n">
        <x:v>3</x:v>
      </x:c>
      <x:c r="H8" s="39" t="str">
        <x:v>WARNING</x:v>
      </x:c>
    </x:row>
    <x:row r="9">
      <x:c r="A9" s="39" t="str">
        <x:v>2026-07-25</x:v>
      </x:c>
      <x:c r="B9" s="43" t="n">
        <x:v>2</x:v>
      </x:c>
      <x:c r="C9" s="39" t="str">
        <x:v>淡水金城武</x:v>
      </x:c>
      <x:c r="D9" s="42" t="n">
        <x:v>-145</x:v>
      </x:c>
      <x:c r="E9" s="41" t="b">
        <x:v>1</x:v>
      </x:c>
      <x:c r="F9" s="39" t="str">
        <x:v>260725</x:v>
      </x:c>
      <x:c r="G9" s="43" t="n">
        <x:v>3</x:v>
      </x:c>
      <x:c r="H9" s="39" t="str">
        <x:v>WARNING</x:v>
      </x:c>
    </x:row>
    <x:row r="10">
      <x:c r="A10" s="39" t="str">
        <x:v>2026-07-25</x:v>
      </x:c>
      <x:c r="B10" s="43" t="n">
        <x:v>3</x:v>
      </x:c>
      <x:c r="C10" s="39" t="str">
        <x:v>強的可怕</x:v>
      </x:c>
      <x:c r="D10" s="42" t="n">
        <x:v>-35</x:v>
      </x:c>
      <x:c r="E10" s="41" t="b">
        <x:v>1</x:v>
      </x:c>
      <x:c r="F10" s="39" t="str">
        <x:v>260725</x:v>
      </x:c>
      <x:c r="G10" s="43" t="n">
        <x:v>4</x:v>
      </x:c>
      <x:c r="H10" s="39" t="str">
        <x:v>VALID</x:v>
      </x:c>
    </x:row>
    <x:row r="11">
      <x:c r="A11" s="39" t="str">
        <x:v>2026-07-25</x:v>
      </x:c>
      <x:c r="B11" s="43" t="n">
        <x:v>3</x:v>
      </x:c>
      <x:c r="C11" s="39" t="str">
        <x:v>KK之王</x:v>
      </x:c>
      <x:c r="D11" s="42" t="n">
        <x:v>-87.5</x:v>
      </x:c>
      <x:c r="E11" s="41" t="b">
        <x:v>1</x:v>
      </x:c>
      <x:c r="F11" s="39" t="str">
        <x:v>260725</x:v>
      </x:c>
      <x:c r="G11" s="43" t="n">
        <x:v>4</x:v>
      </x:c>
      <x:c r="H11" s="39" t="str">
        <x:v>VALID</x:v>
      </x:c>
    </x:row>
    <x:row r="12">
      <x:c r="A12" s="39" t="str">
        <x:v>2026-07-25</x:v>
      </x:c>
      <x:c r="B12" s="43" t="n">
        <x:v>3</x:v>
      </x:c>
      <x:c r="C12" s="39" t="str">
        <x:v>河牌幹死你</x:v>
      </x:c>
      <x:c r="D12" s="42" t="n">
        <x:v>67.5</x:v>
      </x:c>
      <x:c r="E12" s="41" t="b">
        <x:v>1</x:v>
      </x:c>
      <x:c r="F12" s="39" t="str">
        <x:v>260725</x:v>
      </x:c>
      <x:c r="G12" s="43" t="n">
        <x:v>4</x:v>
      </x:c>
      <x:c r="H12" s="39" t="str">
        <x:v>VALID</x:v>
      </x:c>
    </x:row>
    <x:row r="13">
      <x:c r="A13" s="39" t="str">
        <x:v>2026-07-25</x:v>
      </x:c>
      <x:c r="B13" s="43" t="n">
        <x:v>3</x:v>
      </x:c>
      <x:c r="C13" s="39" t="str">
        <x:v>淡水金城武</x:v>
      </x:c>
      <x:c r="D13" s="42" t="n">
        <x:v>142.5</x:v>
      </x:c>
      <x:c r="E13" s="41" t="b">
        <x:v>1</x:v>
      </x:c>
      <x:c r="F13" s="39" t="str">
        <x:v>260725</x:v>
      </x:c>
      <x:c r="G13" s="43" t="n">
        <x:v>4</x:v>
      </x:c>
      <x:c r="H13" s="39" t="str">
        <x:v>VALID</x:v>
      </x:c>
    </x:row>
    <x:row r="14">
      <x:c r="A14" s="39" t="str">
        <x:v>2026-07-25</x:v>
      </x:c>
      <x:c r="B14" s="43" t="n">
        <x:v>3</x:v>
      </x:c>
      <x:c r="C14" s="39" t="str">
        <x:v>大舅哥</x:v>
      </x:c>
      <x:c r="D14" s="42" t="n">
        <x:v>-250</x:v>
      </x:c>
      <x:c r="E14" s="41" t="b">
        <x:v>1</x:v>
      </x:c>
      <x:c r="F14" s="39" t="str">
        <x:v>260725</x:v>
      </x:c>
      <x:c r="G14" s="43" t="n">
        <x:v>4</x:v>
      </x:c>
      <x:c r="H14" s="39" t="str">
        <x:v>VALID</x:v>
      </x:c>
    </x:row>
    <x:row r="15">
      <x:c r="A15" s="39" t="str">
        <x:v>2026-07-25</x:v>
      </x:c>
      <x:c r="B15" s="43" t="n">
        <x:v>3</x:v>
      </x:c>
      <x:c r="C15" s="39" t="str">
        <x:v>z隕石毀滅者</x:v>
      </x:c>
      <x:c r="D15" s="42" t="n">
        <x:v>162.5</x:v>
      </x:c>
      <x:c r="E15" s="41" t="b">
        <x:v>1</x:v>
      </x:c>
      <x:c r="F15" s="39" t="str">
        <x:v>260725</x:v>
      </x:c>
      <x:c r="G15" s="43" t="n">
        <x:v>4</x:v>
      </x:c>
      <x:c r="H15" s="39" t="str">
        <x:v>VALID</x:v>
      </x:c>
    </x:row>
    <x:row r="16">
      <x:c r="A16" s="39" t="str">
        <x:v>2026-07-25</x:v>
      </x:c>
      <x:c r="B16" s="43" t="n">
        <x:v>4</x:v>
      </x:c>
      <x:c r="C16" s="39" t="str">
        <x:v>強的可怕</x:v>
      </x:c>
      <x:c r="D16" s="42" t="n">
        <x:v>-175</x:v>
      </x:c>
      <x:c r="E16" s="41" t="b">
        <x:v>1</x:v>
      </x:c>
      <x:c r="F16" s="39" t="str">
        <x:v>260725</x:v>
      </x:c>
      <x:c r="G16" s="43" t="n">
        <x:v>5</x:v>
      </x:c>
      <x:c r="H16" s="39" t="str">
        <x:v>VALID</x:v>
      </x:c>
    </x:row>
    <x:row r="17">
      <x:c r="A17" s="39" t="str">
        <x:v>2026-07-25</x:v>
      </x:c>
      <x:c r="B17" s="43" t="n">
        <x:v>4</x:v>
      </x:c>
      <x:c r="C17" s="39" t="str">
        <x:v>KK之王</x:v>
      </x:c>
      <x:c r="D17" s="42" t="n">
        <x:v>52.5</x:v>
      </x:c>
      <x:c r="E17" s="41" t="b">
        <x:v>1</x:v>
      </x:c>
      <x:c r="F17" s="39" t="str">
        <x:v>260725</x:v>
      </x:c>
      <x:c r="G17" s="43" t="n">
        <x:v>5</x:v>
      </x:c>
      <x:c r="H17" s="39" t="str">
        <x:v>VALID</x:v>
      </x:c>
    </x:row>
    <x:row r="18">
      <x:c r="A18" s="39" t="str">
        <x:v>2026-07-25</x:v>
      </x:c>
      <x:c r="B18" s="43" t="n">
        <x:v>4</x:v>
      </x:c>
      <x:c r="C18" s="39" t="str">
        <x:v>河牌幹死你</x:v>
      </x:c>
      <x:c r="D18" s="42" t="n">
        <x:v>112.5</x:v>
      </x:c>
      <x:c r="E18" s="41" t="b">
        <x:v>1</x:v>
      </x:c>
      <x:c r="F18" s="39" t="str">
        <x:v>260725</x:v>
      </x:c>
      <x:c r="G18" s="43" t="n">
        <x:v>5</x:v>
      </x:c>
      <x:c r="H18" s="39" t="str">
        <x:v>VALID</x:v>
      </x:c>
    </x:row>
    <x:row r="19">
      <x:c r="A19" s="39" t="str">
        <x:v>2026-07-25</x:v>
      </x:c>
      <x:c r="B19" s="43" t="n">
        <x:v>4</x:v>
      </x:c>
      <x:c r="C19" s="39" t="str">
        <x:v>淡水金城武</x:v>
      </x:c>
      <x:c r="D19" s="42" t="n">
        <x:v>167.5</x:v>
      </x:c>
      <x:c r="E19" s="41" t="b">
        <x:v>1</x:v>
      </x:c>
      <x:c r="F19" s="39" t="str">
        <x:v>260725</x:v>
      </x:c>
      <x:c r="G19" s="43" t="n">
        <x:v>5</x:v>
      </x:c>
      <x:c r="H19" s="39" t="str">
        <x:v>VALID</x:v>
      </x:c>
    </x:row>
    <x:row r="20">
      <x:c r="A20" s="39" t="str">
        <x:v>2026-07-25</x:v>
      </x:c>
      <x:c r="B20" s="43" t="n">
        <x:v>4</x:v>
      </x:c>
      <x:c r="C20" s="39" t="str">
        <x:v>大舅哥</x:v>
      </x:c>
      <x:c r="D20" s="42" t="n">
        <x:v>57.5</x:v>
      </x:c>
      <x:c r="E20" s="41" t="b">
        <x:v>1</x:v>
      </x:c>
      <x:c r="F20" s="39" t="str">
        <x:v>260725</x:v>
      </x:c>
      <x:c r="G20" s="43" t="n">
        <x:v>5</x:v>
      </x:c>
      <x:c r="H20" s="39" t="str">
        <x:v>VALID</x:v>
      </x:c>
    </x:row>
    <x:row r="21">
      <x:c r="A21" s="39" t="str">
        <x:v>2026-07-25</x:v>
      </x:c>
      <x:c r="B21" s="43" t="n">
        <x:v>4</x:v>
      </x:c>
      <x:c r="C21" s="39" t="str">
        <x:v>z隕石毀滅者</x:v>
      </x:c>
      <x:c r="D21" s="42" t="n">
        <x:v>-215</x:v>
      </x:c>
      <x:c r="E21" s="41" t="b">
        <x:v>1</x:v>
      </x:c>
      <x:c r="F21" s="39" t="str">
        <x:v>260725</x:v>
      </x:c>
      <x:c r="G21" s="43" t="n">
        <x:v>5</x:v>
      </x:c>
      <x:c r="H21" s="39" t="str">
        <x:v>VALID</x:v>
      </x:c>
    </x:row>
    <x:row r="22">
      <x:c r="A22" s="39" t="str">
        <x:v>2026-07-25</x:v>
      </x:c>
      <x:c r="B22" s="43" t="n">
        <x:v>5</x:v>
      </x:c>
      <x:c r="C22" s="39" t="str">
        <x:v>強的可怕</x:v>
      </x:c>
      <x:c r="D22" s="42" t="n">
        <x:v>110</x:v>
      </x:c>
      <x:c r="E22" s="41" t="b">
        <x:v>1</x:v>
      </x:c>
      <x:c r="F22" s="39" t="str">
        <x:v>260725</x:v>
      </x:c>
      <x:c r="G22" s="43" t="n">
        <x:v>6</x:v>
      </x:c>
      <x:c r="H22" s="39" t="str">
        <x:v>VALID</x:v>
      </x:c>
    </x:row>
    <x:row r="23">
      <x:c r="A23" s="39" t="str">
        <x:v>2026-07-25</x:v>
      </x:c>
      <x:c r="B23" s="43" t="n">
        <x:v>5</x:v>
      </x:c>
      <x:c r="C23" s="39" t="str">
        <x:v>KK之王</x:v>
      </x:c>
      <x:c r="D23" s="42" t="n">
        <x:v>227.5</x:v>
      </x:c>
      <x:c r="E23" s="41" t="b">
        <x:v>1</x:v>
      </x:c>
      <x:c r="F23" s="39" t="str">
        <x:v>260725</x:v>
      </x:c>
      <x:c r="G23" s="43" t="n">
        <x:v>6</x:v>
      </x:c>
      <x:c r="H23" s="39" t="str">
        <x:v>VALID</x:v>
      </x:c>
    </x:row>
    <x:row r="24">
      <x:c r="A24" s="39" t="str">
        <x:v>2026-07-25</x:v>
      </x:c>
      <x:c r="B24" s="43" t="n">
        <x:v>5</x:v>
      </x:c>
      <x:c r="C24" s="39" t="str">
        <x:v>河牌幹死你</x:v>
      </x:c>
      <x:c r="D24" s="42" t="n">
        <x:v>0</x:v>
      </x:c>
      <x:c r="E24" s="41" t="b">
        <x:v>1</x:v>
      </x:c>
      <x:c r="F24" s="39" t="str">
        <x:v>260725</x:v>
      </x:c>
      <x:c r="G24" s="43" t="n">
        <x:v>6</x:v>
      </x:c>
      <x:c r="H24" s="39" t="str">
        <x:v>VALID</x:v>
      </x:c>
    </x:row>
    <x:row r="25">
      <x:c r="A25" s="39" t="str">
        <x:v>2026-07-25</x:v>
      </x:c>
      <x:c r="B25" s="43" t="n">
        <x:v>5</x:v>
      </x:c>
      <x:c r="C25" s="39" t="str">
        <x:v>淡水金城武</x:v>
      </x:c>
      <x:c r="D25" s="42" t="n">
        <x:v>-167.5</x:v>
      </x:c>
      <x:c r="E25" s="41" t="b">
        <x:v>1</x:v>
      </x:c>
      <x:c r="F25" s="39" t="str">
        <x:v>260725</x:v>
      </x:c>
      <x:c r="G25" s="43" t="n">
        <x:v>6</x:v>
      </x:c>
      <x:c r="H25" s="39" t="str">
        <x:v>VALID</x:v>
      </x:c>
    </x:row>
    <x:row r="26">
      <x:c r="A26" s="39" t="str">
        <x:v>2026-07-25</x:v>
      </x:c>
      <x:c r="B26" s="43" t="n">
        <x:v>5</x:v>
      </x:c>
      <x:c r="C26" s="39" t="str">
        <x:v>大舅哥</x:v>
      </x:c>
      <x:c r="D26" s="42" t="n">
        <x:v>-12.5</x:v>
      </x:c>
      <x:c r="E26" s="41" t="b">
        <x:v>1</x:v>
      </x:c>
      <x:c r="F26" s="39" t="str">
        <x:v>260725</x:v>
      </x:c>
      <x:c r="G26" s="43" t="n">
        <x:v>6</x:v>
      </x:c>
      <x:c r="H26" s="39" t="str">
        <x:v>VALID</x:v>
      </x:c>
    </x:row>
    <x:row r="27">
      <x:c r="A27" s="39" t="str">
        <x:v>2026-07-25</x:v>
      </x:c>
      <x:c r="B27" s="43" t="n">
        <x:v>5</x:v>
      </x:c>
      <x:c r="C27" s="39" t="str">
        <x:v>z隕石毀滅者</x:v>
      </x:c>
      <x:c r="D27" s="42" t="n">
        <x:v>-157.5</x:v>
      </x:c>
      <x:c r="E27" s="41" t="b">
        <x:v>1</x:v>
      </x:c>
      <x:c r="F27" s="39" t="str">
        <x:v>260725</x:v>
      </x:c>
      <x:c r="G27" s="43" t="n">
        <x:v>6</x:v>
      </x:c>
      <x:c r="H27" s="39" t="str">
        <x:v>VALID</x:v>
      </x:c>
    </x:row>
    <x:row r="28">
      <x:c r="A28" s="39" t="str">
        <x:v>2026-07-31</x:v>
      </x:c>
      <x:c r="B28" s="43" t="n">
        <x:v>1</x:v>
      </x:c>
      <x:c r="C28" s="39" t="str">
        <x:v>強的可怕</x:v>
      </x:c>
      <x:c r="D28" s="42" t="n">
        <x:v>-250</x:v>
      </x:c>
      <x:c r="E28" s="41" t="b">
        <x:v>1</x:v>
      </x:c>
      <x:c r="F28" s="39" t="str">
        <x:v>260731</x:v>
      </x:c>
      <x:c r="G28" s="43" t="n">
        <x:v>2</x:v>
      </x:c>
      <x:c r="H28" s="39" t="str">
        <x:v>VALID</x:v>
      </x:c>
    </x:row>
    <x:row r="29">
      <x:c r="A29" s="39" t="str">
        <x:v>2026-07-31</x:v>
      </x:c>
      <x:c r="B29" s="43" t="n">
        <x:v>1</x:v>
      </x:c>
      <x:c r="C29" s="39" t="str">
        <x:v>KK之王</x:v>
      </x:c>
      <x:c r="D29" s="42" t="n">
        <x:v>-112.5</x:v>
      </x:c>
      <x:c r="E29" s="41" t="b">
        <x:v>1</x:v>
      </x:c>
      <x:c r="F29" s="39" t="str">
        <x:v>260731</x:v>
      </x:c>
      <x:c r="G29" s="43" t="n">
        <x:v>2</x:v>
      </x:c>
      <x:c r="H29" s="39" t="str">
        <x:v>VALID</x:v>
      </x:c>
    </x:row>
    <x:row r="30">
      <x:c r="A30" s="39" t="str">
        <x:v>2026-07-31</x:v>
      </x:c>
      <x:c r="B30" s="43" t="n">
        <x:v>1</x:v>
      </x:c>
      <x:c r="C30" s="39" t="str">
        <x:v>河牌幹死你</x:v>
      </x:c>
      <x:c r="D30" s="42" t="n">
        <x:v>447.5</x:v>
      </x:c>
      <x:c r="E30" s="41" t="b">
        <x:v>1</x:v>
      </x:c>
      <x:c r="F30" s="39" t="str">
        <x:v>260731</x:v>
      </x:c>
      <x:c r="G30" s="43" t="n">
        <x:v>2</x:v>
      </x:c>
      <x:c r="H30" s="39" t="str">
        <x:v>VALID</x:v>
      </x:c>
    </x:row>
    <x:row r="31">
      <x:c r="A31" s="39" t="str">
        <x:v>2026-07-31</x:v>
      </x:c>
      <x:c r="B31" s="43" t="n">
        <x:v>1</x:v>
      </x:c>
      <x:c r="C31" s="39" t="str">
        <x:v>淡水金城武</x:v>
      </x:c>
      <x:c r="D31" s="42" t="n">
        <x:v>-85</x:v>
      </x:c>
      <x:c r="E31" s="41" t="b">
        <x:v>1</x:v>
      </x:c>
      <x:c r="F31" s="39" t="str">
        <x:v>260731</x:v>
      </x:c>
      <x:c r="G31" s="43" t="n">
        <x:v>2</x:v>
      </x:c>
      <x:c r="H31" s="39" t="str">
        <x:v>VALID</x:v>
      </x:c>
    </x:row>
    <x:row r="32">
      <x:c r="A32" s="39" t="str">
        <x:v>2026-07-31</x:v>
      </x:c>
      <x:c r="B32" s="43" t="n">
        <x:v>2</x:v>
      </x:c>
      <x:c r="C32" s="39" t="str">
        <x:v>強的可怕</x:v>
      </x:c>
      <x:c r="D32" s="42" t="n">
        <x:v>200</x:v>
      </x:c>
      <x:c r="E32" s="41" t="b">
        <x:v>1</x:v>
      </x:c>
      <x:c r="F32" s="39" t="str">
        <x:v>260731</x:v>
      </x:c>
      <x:c r="G32" s="43" t="n">
        <x:v>3</x:v>
      </x:c>
      <x:c r="H32" s="39" t="str">
        <x:v>VALID</x:v>
      </x:c>
    </x:row>
    <x:row r="33">
      <x:c r="A33" s="39" t="str">
        <x:v>2026-07-31</x:v>
      </x:c>
      <x:c r="B33" s="43" t="n">
        <x:v>2</x:v>
      </x:c>
      <x:c r="C33" s="39" t="str">
        <x:v>KK之王</x:v>
      </x:c>
      <x:c r="D33" s="42" t="n">
        <x:v>-250</x:v>
      </x:c>
      <x:c r="E33" s="41" t="b">
        <x:v>1</x:v>
      </x:c>
      <x:c r="F33" s="39" t="str">
        <x:v>260731</x:v>
      </x:c>
      <x:c r="G33" s="43" t="n">
        <x:v>3</x:v>
      </x:c>
      <x:c r="H33" s="39" t="str">
        <x:v>VALID</x:v>
      </x:c>
    </x:row>
    <x:row r="34">
      <x:c r="A34" s="39" t="str">
        <x:v>2026-07-31</x:v>
      </x:c>
      <x:c r="B34" s="43" t="n">
        <x:v>2</x:v>
      </x:c>
      <x:c r="C34" s="39" t="str">
        <x:v>河牌幹死你</x:v>
      </x:c>
      <x:c r="D34" s="42" t="n">
        <x:v>-222.5</x:v>
      </x:c>
      <x:c r="E34" s="41" t="b">
        <x:v>1</x:v>
      </x:c>
      <x:c r="F34" s="39" t="str">
        <x:v>260731</x:v>
      </x:c>
      <x:c r="G34" s="43" t="n">
        <x:v>3</x:v>
      </x:c>
      <x:c r="H34" s="39" t="str">
        <x:v>VALID</x:v>
      </x:c>
    </x:row>
    <x:row r="35">
      <x:c r="A35" s="39" t="str">
        <x:v>2026-07-31</x:v>
      </x:c>
      <x:c r="B35" s="43" t="n">
        <x:v>2</x:v>
      </x:c>
      <x:c r="C35" s="39" t="str">
        <x:v>淡水金城武</x:v>
      </x:c>
      <x:c r="D35" s="42" t="n">
        <x:v>272.5</x:v>
      </x:c>
      <x:c r="E35" s="41" t="b">
        <x:v>1</x:v>
      </x:c>
      <x:c r="F35" s="39" t="str">
        <x:v>260731</x:v>
      </x:c>
      <x:c r="G35" s="43" t="n">
        <x:v>3</x:v>
      </x:c>
      <x:c r="H35" s="39" t="str">
        <x:v>VALID</x:v>
      </x:c>
    </x:row>
    <x:row r="36">
      <x:c r="A36" s="39" t="str">
        <x:v>2026-07-31</x:v>
      </x:c>
      <x:c r="B36" s="43" t="n">
        <x:v>3</x:v>
      </x:c>
      <x:c r="C36" s="39" t="str">
        <x:v>強的可怕</x:v>
      </x:c>
      <x:c r="D36" s="42" t="n">
        <x:v>117.5</x:v>
      </x:c>
      <x:c r="E36" s="41" t="b">
        <x:v>1</x:v>
      </x:c>
      <x:c r="F36" s="39" t="str">
        <x:v>260731</x:v>
      </x:c>
      <x:c r="G36" s="43" t="n">
        <x:v>4</x:v>
      </x:c>
      <x:c r="H36" s="39" t="str">
        <x:v>VALID</x:v>
      </x:c>
    </x:row>
    <x:row r="37">
      <x:c r="A37" s="39" t="str">
        <x:v>2026-07-31</x:v>
      </x:c>
      <x:c r="B37" s="43" t="n">
        <x:v>3</x:v>
      </x:c>
      <x:c r="C37" s="39" t="str">
        <x:v>KK之王</x:v>
      </x:c>
      <x:c r="D37" s="42" t="n">
        <x:v>112.5</x:v>
      </x:c>
      <x:c r="E37" s="41" t="b">
        <x:v>1</x:v>
      </x:c>
      <x:c r="F37" s="39" t="str">
        <x:v>260731</x:v>
      </x:c>
      <x:c r="G37" s="43" t="n">
        <x:v>4</x:v>
      </x:c>
      <x:c r="H37" s="39" t="str">
        <x:v>VALID</x:v>
      </x:c>
    </x:row>
    <x:row r="38">
      <x:c r="A38" s="39" t="str">
        <x:v>2026-07-31</x:v>
      </x:c>
      <x:c r="B38" s="43" t="n">
        <x:v>3</x:v>
      </x:c>
      <x:c r="C38" s="39" t="str">
        <x:v>河牌幹死你</x:v>
      </x:c>
      <x:c r="D38" s="42" t="n">
        <x:v>-250</x:v>
      </x:c>
      <x:c r="E38" s="41" t="b">
        <x:v>1</x:v>
      </x:c>
      <x:c r="F38" s="39" t="str">
        <x:v>260731</x:v>
      </x:c>
      <x:c r="G38" s="43" t="n">
        <x:v>4</x:v>
      </x:c>
      <x:c r="H38" s="39" t="str">
        <x:v>VALID</x:v>
      </x:c>
    </x:row>
    <x:row r="39">
      <x:c r="A39" s="39" t="str">
        <x:v>2026-07-31</x:v>
      </x:c>
      <x:c r="B39" s="43" t="n">
        <x:v>3</x:v>
      </x:c>
      <x:c r="C39" s="39" t="str">
        <x:v>淡水金城武</x:v>
      </x:c>
      <x:c r="D39" s="42" t="n">
        <x:v>20</x:v>
      </x:c>
      <x:c r="E39" s="41" t="b">
        <x:v>1</x:v>
      </x:c>
      <x:c r="F39" s="39" t="str">
        <x:v>260731</x:v>
      </x:c>
      <x:c r="G39" s="43" t="n">
        <x:v>4</x:v>
      </x:c>
      <x:c r="H39" s="39" t="str">
        <x:v>VALID</x:v>
      </x:c>
    </x:row>
    <x:row r="40">
      <x:c r="A40" s="39" t="str">
        <x:v>2026-07-31</x:v>
      </x:c>
      <x:c r="B40" s="43" t="n">
        <x:v>4</x:v>
      </x:c>
      <x:c r="C40" s="39" t="str">
        <x:v>強的可怕</x:v>
      </x:c>
      <x:c r="D40" s="42" t="n">
        <x:v>242.5</x:v>
      </x:c>
      <x:c r="E40" s="41" t="b">
        <x:v>1</x:v>
      </x:c>
      <x:c r="F40" s="39" t="str">
        <x:v>260731</x:v>
      </x:c>
      <x:c r="G40" s="43" t="n">
        <x:v>5</x:v>
      </x:c>
      <x:c r="H40" s="39" t="str">
        <x:v>VALID</x:v>
      </x:c>
    </x:row>
    <x:row r="41">
      <x:c r="A41" s="39" t="str">
        <x:v>2026-07-31</x:v>
      </x:c>
      <x:c r="B41" s="43" t="n">
        <x:v>4</x:v>
      </x:c>
      <x:c r="C41" s="39" t="str">
        <x:v>KK之王</x:v>
      </x:c>
      <x:c r="D41" s="42" t="n">
        <x:v>-2.5</x:v>
      </x:c>
      <x:c r="E41" s="41" t="b">
        <x:v>1</x:v>
      </x:c>
      <x:c r="F41" s="39" t="str">
        <x:v>260731</x:v>
      </x:c>
      <x:c r="G41" s="43" t="n">
        <x:v>5</x:v>
      </x:c>
      <x:c r="H41" s="39" t="str">
        <x:v>VALID</x:v>
      </x:c>
    </x:row>
    <x:row r="42">
      <x:c r="A42" s="39" t="str">
        <x:v>2026-07-31</x:v>
      </x:c>
      <x:c r="B42" s="43" t="n">
        <x:v>4</x:v>
      </x:c>
      <x:c r="C42" s="39" t="str">
        <x:v>河牌幹死你</x:v>
      </x:c>
      <x:c r="D42" s="42" t="n">
        <x:v>10</x:v>
      </x:c>
      <x:c r="E42" s="41" t="b">
        <x:v>1</x:v>
      </x:c>
      <x:c r="F42" s="39" t="str">
        <x:v>260731</x:v>
      </x:c>
      <x:c r="G42" s="43" t="n">
        <x:v>5</x:v>
      </x:c>
      <x:c r="H42" s="39" t="str">
        <x:v>VALID</x:v>
      </x:c>
    </x:row>
    <x:row r="43">
      <x:c r="A43" s="39" t="str">
        <x:v>2026-07-31</x:v>
      </x:c>
      <x:c r="B43" s="43" t="n">
        <x:v>4</x:v>
      </x:c>
      <x:c r="C43" s="39" t="str">
        <x:v>淡水金城武</x:v>
      </x:c>
      <x:c r="D43" s="42" t="n">
        <x:v>-250</x:v>
      </x:c>
      <x:c r="E43" s="41" t="b">
        <x:v>1</x:v>
      </x:c>
      <x:c r="F43" s="39" t="str">
        <x:v>260731</x:v>
      </x:c>
      <x:c r="G43" s="43" t="n">
        <x:v>5</x:v>
      </x:c>
      <x:c r="H43" s="39" t="str">
        <x:v>VALID</x:v>
      </x:c>
    </x:row>
    <x:row r="44">
      <x:c r="A44" s="39" t="str">
        <x:v>2026-07-31</x:v>
      </x:c>
      <x:c r="B44" s="43" t="n">
        <x:v>5</x:v>
      </x:c>
      <x:c r="C44" s="39" t="str">
        <x:v>強的可怕</x:v>
      </x:c>
      <x:c r="D44" s="42" t="n">
        <x:v>222.5</x:v>
      </x:c>
      <x:c r="E44" s="41" t="b">
        <x:v>1</x:v>
      </x:c>
      <x:c r="F44" s="39" t="str">
        <x:v>260731</x:v>
      </x:c>
      <x:c r="G44" s="43" t="n">
        <x:v>6</x:v>
      </x:c>
      <x:c r="H44" s="39" t="str">
        <x:v>WARNING</x:v>
      </x:c>
    </x:row>
    <x:row r="45">
      <x:c r="A45" s="39" t="str">
        <x:v>2026-07-31</x:v>
      </x:c>
      <x:c r="B45" s="43" t="n">
        <x:v>5</x:v>
      </x:c>
      <x:c r="C45" s="39" t="str">
        <x:v>KK之王</x:v>
      </x:c>
      <x:c r="D45" s="42" t="n">
        <x:v>-12.5</x:v>
      </x:c>
      <x:c r="E45" s="41" t="b">
        <x:v>1</x:v>
      </x:c>
      <x:c r="F45" s="39" t="str">
        <x:v>260731</x:v>
      </x:c>
      <x:c r="G45" s="43" t="n">
        <x:v>6</x:v>
      </x:c>
      <x:c r="H45" s="39" t="str">
        <x:v>WARNING</x:v>
      </x:c>
    </x:row>
    <x:row r="46">
      <x:c r="A46" s="39" t="str">
        <x:v>2026-07-31</x:v>
      </x:c>
      <x:c r="B46" s="43" t="n">
        <x:v>5</x:v>
      </x:c>
      <x:c r="C46" s="39" t="str">
        <x:v>河牌幹死你</x:v>
      </x:c>
      <x:c r="D46" s="42" t="n">
        <x:v>-250</x:v>
      </x:c>
      <x:c r="E46" s="41" t="b">
        <x:v>1</x:v>
      </x:c>
      <x:c r="F46" s="39" t="str">
        <x:v>260731</x:v>
      </x:c>
      <x:c r="G46" s="43" t="n">
        <x:v>6</x:v>
      </x:c>
      <x:c r="H46" s="39" t="str">
        <x:v>WARNING</x:v>
      </x:c>
    </x:row>
    <x:row r="47">
      <x:c r="A47" s="39" t="str">
        <x:v>2026-07-31</x:v>
      </x:c>
      <x:c r="B47" s="43" t="n">
        <x:v>5</x:v>
      </x:c>
      <x:c r="C47" s="39" t="str">
        <x:v>淡水金城武</x:v>
      </x:c>
      <x:c r="D47" s="42" t="n">
        <x:v>152.5</x:v>
      </x:c>
      <x:c r="E47" s="41" t="b">
        <x:v>1</x:v>
      </x:c>
      <x:c r="F47" s="39" t="str">
        <x:v>260731</x:v>
      </x:c>
      <x:c r="G47" s="43" t="n">
        <x:v>6</x:v>
      </x:c>
      <x:c r="H47" s="39" t="str">
        <x:v>WARNING</x:v>
      </x:c>
    </x:row>
    <x:row r="48">
      <x:c r="A48" s="39" t="str">
        <x:v>2026-07-31</x:v>
      </x:c>
      <x:c r="B48" s="43" t="n">
        <x:v>6</x:v>
      </x:c>
      <x:c r="C48" s="39" t="str">
        <x:v>強的可怕</x:v>
      </x:c>
      <x:c r="D48" s="42" t="n">
        <x:v>107.5</x:v>
      </x:c>
      <x:c r="E48" s="41" t="b">
        <x:v>1</x:v>
      </x:c>
      <x:c r="F48" s="39" t="str">
        <x:v>260731</x:v>
      </x:c>
      <x:c r="G48" s="43" t="n">
        <x:v>7</x:v>
      </x:c>
      <x:c r="H48" s="39" t="str">
        <x:v>VALID</x:v>
      </x:c>
    </x:row>
    <x:row r="49">
      <x:c r="A49" s="39" t="str">
        <x:v>2026-07-31</x:v>
      </x:c>
      <x:c r="B49" s="43" t="n">
        <x:v>6</x:v>
      </x:c>
      <x:c r="C49" s="39" t="str">
        <x:v>KK之王</x:v>
      </x:c>
      <x:c r="D49" s="42" t="n">
        <x:v>10</x:v>
      </x:c>
      <x:c r="E49" s="41" t="b">
        <x:v>1</x:v>
      </x:c>
      <x:c r="F49" s="39" t="str">
        <x:v>260731</x:v>
      </x:c>
      <x:c r="G49" s="43" t="n">
        <x:v>7</x:v>
      </x:c>
      <x:c r="H49" s="39" t="str">
        <x:v>VALID</x:v>
      </x:c>
    </x:row>
    <x:row r="50">
      <x:c r="A50" s="39" t="str">
        <x:v>2026-07-31</x:v>
      </x:c>
      <x:c r="B50" s="43" t="n">
        <x:v>6</x:v>
      </x:c>
      <x:c r="C50" s="39" t="str">
        <x:v>河牌幹死你</x:v>
      </x:c>
      <x:c r="D50" s="42" t="n">
        <x:v>132.5</x:v>
      </x:c>
      <x:c r="E50" s="41" t="b">
        <x:v>1</x:v>
      </x:c>
      <x:c r="F50" s="39" t="str">
        <x:v>260731</x:v>
      </x:c>
      <x:c r="G50" s="43" t="n">
        <x:v>7</x:v>
      </x:c>
      <x:c r="H50" s="39" t="str">
        <x:v>VALID</x:v>
      </x:c>
    </x:row>
    <x:row r="51">
      <x:c r="A51" s="39" t="str">
        <x:v>2026-07-31</x:v>
      </x:c>
      <x:c r="B51" s="43" t="n">
        <x:v>6</x:v>
      </x:c>
      <x:c r="C51" s="39" t="str">
        <x:v>淡水金城武</x:v>
      </x:c>
      <x:c r="D51" s="42" t="n">
        <x:v>-250</x:v>
      </x:c>
      <x:c r="E51" s="41" t="b">
        <x:v>1</x:v>
      </x:c>
      <x:c r="F51" s="39" t="str">
        <x:v>260731</x:v>
      </x:c>
      <x:c r="G51" s="43" t="n">
        <x:v>7</x:v>
      </x:c>
      <x:c r="H51" s="39" t="str">
        <x:v>VALID</x:v>
      </x:c>
    </x:row>
    <x:row r="52">
      <x:c r="A52" s="39" t="str">
        <x:v>2026-08-15</x:v>
      </x:c>
      <x:c r="B52" s="43" t="n">
        <x:v>1</x:v>
      </x:c>
      <x:c r="C52" s="39" t="str">
        <x:v>強的可怕</x:v>
      </x:c>
      <x:c r="D52" s="42" t="n">
        <x:v>-100</x:v>
      </x:c>
      <x:c r="E52" s="41" t="b">
        <x:v>1</x:v>
      </x:c>
      <x:c r="F52" s="39" t="str">
        <x:v>260815</x:v>
      </x:c>
      <x:c r="G52" s="43" t="n">
        <x:v>2</x:v>
      </x:c>
      <x:c r="H52" s="39" t="str">
        <x:v>VALID</x:v>
      </x:c>
    </x:row>
    <x:row r="53">
      <x:c r="A53" s="39" t="str">
        <x:v>2026-08-15</x:v>
      </x:c>
      <x:c r="B53" s="43" t="n">
        <x:v>1</x:v>
      </x:c>
      <x:c r="C53" s="39" t="str">
        <x:v>KK之王</x:v>
      </x:c>
      <x:c r="D53" s="42" t="n">
        <x:v>102</x:v>
      </x:c>
      <x:c r="E53" s="41" t="b">
        <x:v>1</x:v>
      </x:c>
      <x:c r="F53" s="39" t="str">
        <x:v>260815</x:v>
      </x:c>
      <x:c r="G53" s="43" t="n">
        <x:v>2</x:v>
      </x:c>
      <x:c r="H53" s="39" t="str">
        <x:v>VALID</x:v>
      </x:c>
    </x:row>
    <x:row r="54">
      <x:c r="A54" s="39" t="str">
        <x:v>2026-08-15</x:v>
      </x:c>
      <x:c r="B54" s="43" t="n">
        <x:v>1</x:v>
      </x:c>
      <x:c r="C54" s="39" t="str">
        <x:v>淡水金城武</x:v>
      </x:c>
      <x:c r="D54" s="42" t="n">
        <x:v>0</x:v>
      </x:c>
      <x:c r="E54" s="41" t="b">
        <x:v>1</x:v>
      </x:c>
      <x:c r="F54" s="39" t="str">
        <x:v>260815</x:v>
      </x:c>
      <x:c r="G54" s="43" t="n">
        <x:v>2</x:v>
      </x:c>
      <x:c r="H54" s="39" t="str">
        <x:v>VALID</x:v>
      </x:c>
    </x:row>
    <x:row r="55">
      <x:c r="A55" s="39" t="str">
        <x:v>2026-08-15</x:v>
      </x:c>
      <x:c r="B55" s="43" t="n">
        <x:v>1</x:v>
      </x:c>
      <x:c r="C55" s="39" t="str">
        <x:v>中</x:v>
      </x:c>
      <x:c r="D55" s="42" t="n">
        <x:v>-2</x:v>
      </x:c>
      <x:c r="E55" s="41" t="b">
        <x:v>1</x:v>
      </x:c>
      <x:c r="F55" s="39" t="str">
        <x:v>260815</x:v>
      </x:c>
      <x:c r="G55" s="43" t="n">
        <x:v>2</x:v>
      </x:c>
      <x:c r="H55" s="39" t="str">
        <x:v>VALID</x:v>
      </x:c>
    </x:row>
    <x:row r="56">
      <x:c r="A56" s="39" t="str">
        <x:v>2026-08-15</x:v>
      </x:c>
      <x:c r="B56" s="43" t="n">
        <x:v>1</x:v>
      </x:c>
      <x:c r="C56" s="39" t="str">
        <x:v>我是你爸</x:v>
      </x:c>
      <x:c r="D56" s="42" t="n">
        <x:v>0</x:v>
      </x:c>
      <x:c r="E56" s="41" t="b">
        <x:v>1</x:v>
      </x:c>
      <x:c r="F56" s="39" t="str">
        <x:v>260815</x:v>
      </x:c>
      <x:c r="G56" s="43" t="n">
        <x:v>2</x:v>
      </x:c>
      <x:c r="H56" s="39" t="str">
        <x:v>VALID</x:v>
      </x:c>
    </x:row>
    <x:row r="57">
      <x:c r="A57" s="39" t="str">
        <x:v>2026-08-15</x:v>
      </x:c>
      <x:c r="B57" s="43" t="n">
        <x:v>1</x:v>
      </x:c>
      <x:c r="C57" s="39" t="str">
        <x:v>大舅哥</x:v>
      </x:c>
      <x:c r="D57" s="42" t="n">
        <x:v>0</x:v>
      </x:c>
      <x:c r="E57" s="41" t="b">
        <x:v>1</x:v>
      </x:c>
      <x:c r="F57" s="39" t="str">
        <x:v>260815</x:v>
      </x:c>
      <x:c r="G57" s="43" t="n">
        <x:v>2</x:v>
      </x:c>
      <x:c r="H57" s="39" t="str">
        <x:v>VALID</x:v>
      </x:c>
    </x:row>
    <x:row r="58">
      <x:c r="A58" s="39" t="str">
        <x:v>2026-08-15</x:v>
      </x:c>
      <x:c r="B58" s="43" t="n">
        <x:v>1</x:v>
      </x:c>
      <x:c r="C58" s="39" t="str">
        <x:v>帥潮</x:v>
      </x:c>
      <x:c r="D58" s="42" t="n">
        <x:v>0</x:v>
      </x:c>
      <x:c r="E58" s="41" t="b">
        <x:v>1</x:v>
      </x:c>
      <x:c r="F58" s="39" t="str">
        <x:v>260815</x:v>
      </x:c>
      <x:c r="G58" s="43" t="n">
        <x:v>2</x:v>
      </x:c>
      <x:c r="H58" s="39" t="str">
        <x:v>VALID</x:v>
      </x:c>
    </x:row>
    <x:row r="59">
      <x:c r="A59" s="39" t="str">
        <x:v>2026-08-15</x:v>
      </x:c>
      <x:c r="B59" s="43" t="n">
        <x:v>2</x:v>
      </x:c>
      <x:c r="C59" s="39" t="str">
        <x:v>強的可怕</x:v>
      </x:c>
      <x:c r="D59" s="42" t="n">
        <x:v>-12</x:v>
      </x:c>
      <x:c r="E59" s="41" t="b">
        <x:v>1</x:v>
      </x:c>
      <x:c r="F59" s="39" t="str">
        <x:v>260815</x:v>
      </x:c>
      <x:c r="G59" s="43" t="n">
        <x:v>3</x:v>
      </x:c>
      <x:c r="H59" s="39" t="str">
        <x:v>VALID</x:v>
      </x:c>
    </x:row>
    <x:row r="60">
      <x:c r="A60" s="39" t="str">
        <x:v>2026-08-15</x:v>
      </x:c>
      <x:c r="B60" s="43" t="n">
        <x:v>2</x:v>
      </x:c>
      <x:c r="C60" s="39" t="str">
        <x:v>KK之王</x:v>
      </x:c>
      <x:c r="D60" s="42" t="n">
        <x:v>-38</x:v>
      </x:c>
      <x:c r="E60" s="41" t="b">
        <x:v>1</x:v>
      </x:c>
      <x:c r="F60" s="39" t="str">
        <x:v>260815</x:v>
      </x:c>
      <x:c r="G60" s="43" t="n">
        <x:v>3</x:v>
      </x:c>
      <x:c r="H60" s="39" t="str">
        <x:v>VALID</x:v>
      </x:c>
    </x:row>
    <x:row r="61">
      <x:c r="A61" s="39" t="str">
        <x:v>2026-08-15</x:v>
      </x:c>
      <x:c r="B61" s="43" t="n">
        <x:v>2</x:v>
      </x:c>
      <x:c r="C61" s="39" t="str">
        <x:v>淡水金城武</x:v>
      </x:c>
      <x:c r="D61" s="42" t="n">
        <x:v>0</x:v>
      </x:c>
      <x:c r="E61" s="41" t="b">
        <x:v>1</x:v>
      </x:c>
      <x:c r="F61" s="39" t="str">
        <x:v>260815</x:v>
      </x:c>
      <x:c r="G61" s="43" t="n">
        <x:v>3</x:v>
      </x:c>
      <x:c r="H61" s="39" t="str">
        <x:v>VALID</x:v>
      </x:c>
    </x:row>
    <x:row r="62">
      <x:c r="A62" s="39" t="str">
        <x:v>2026-08-15</x:v>
      </x:c>
      <x:c r="B62" s="43" t="n">
        <x:v>2</x:v>
      </x:c>
      <x:c r="C62" s="39" t="str">
        <x:v>中</x:v>
      </x:c>
      <x:c r="D62" s="42" t="n">
        <x:v>50</x:v>
      </x:c>
      <x:c r="E62" s="41" t="b">
        <x:v>1</x:v>
      </x:c>
      <x:c r="F62" s="39" t="str">
        <x:v>260815</x:v>
      </x:c>
      <x:c r="G62" s="43" t="n">
        <x:v>3</x:v>
      </x:c>
      <x:c r="H62" s="39" t="str">
        <x:v>VALID</x:v>
      </x:c>
    </x:row>
    <x:row r="63">
      <x:c r="A63" s="39" t="str">
        <x:v>2026-08-15</x:v>
      </x:c>
      <x:c r="B63" s="43" t="n">
        <x:v>2</x:v>
      </x:c>
      <x:c r="C63" s="39" t="str">
        <x:v>我是你爸</x:v>
      </x:c>
      <x:c r="D63" s="42" t="n">
        <x:v>0</x:v>
      </x:c>
      <x:c r="E63" s="41" t="b">
        <x:v>1</x:v>
      </x:c>
      <x:c r="F63" s="39" t="str">
        <x:v>260815</x:v>
      </x:c>
      <x:c r="G63" s="43" t="n">
        <x:v>3</x:v>
      </x:c>
      <x:c r="H63" s="39" t="str">
        <x:v>VALID</x:v>
      </x:c>
    </x:row>
    <x:row r="64">
      <x:c r="A64" s="39" t="str">
        <x:v>2026-08-15</x:v>
      </x:c>
      <x:c r="B64" s="43" t="n">
        <x:v>2</x:v>
      </x:c>
      <x:c r="C64" s="39" t="str">
        <x:v>大舅哥</x:v>
      </x:c>
      <x:c r="D64" s="42" t="n">
        <x:v>0</x:v>
      </x:c>
      <x:c r="E64" s="41" t="b">
        <x:v>1</x:v>
      </x:c>
      <x:c r="F64" s="39" t="str">
        <x:v>260815</x:v>
      </x:c>
      <x:c r="G64" s="43" t="n">
        <x:v>3</x:v>
      </x:c>
      <x:c r="H64" s="39" t="str">
        <x:v>VALID</x:v>
      </x:c>
    </x:row>
    <x:row r="65">
      <x:c r="A65" s="39" t="str">
        <x:v>2026-08-15</x:v>
      </x:c>
      <x:c r="B65" s="43" t="n">
        <x:v>2</x:v>
      </x:c>
      <x:c r="C65" s="39" t="str">
        <x:v>帥潮</x:v>
      </x:c>
      <x:c r="D65" s="42" t="n">
        <x:v>0</x:v>
      </x:c>
      <x:c r="E65" s="41" t="b">
        <x:v>1</x:v>
      </x:c>
      <x:c r="F65" s="39" t="str">
        <x:v>260815</x:v>
      </x:c>
      <x:c r="G65" s="43" t="n">
        <x:v>3</x:v>
      </x:c>
      <x:c r="H65" s="39" t="str">
        <x:v>VALID</x:v>
      </x:c>
    </x:row>
    <x:row r="66">
      <x:c r="A66" s="39" t="str">
        <x:v>2026-08-15</x:v>
      </x:c>
      <x:c r="B66" s="43" t="n">
        <x:v>3</x:v>
      </x:c>
      <x:c r="C66" s="39" t="str">
        <x:v>強的可怕</x:v>
      </x:c>
      <x:c r="D66" s="42" t="n">
        <x:v>-42.5</x:v>
      </x:c>
      <x:c r="E66" s="41" t="b">
        <x:v>1</x:v>
      </x:c>
      <x:c r="F66" s="39" t="str">
        <x:v>260815</x:v>
      </x:c>
      <x:c r="G66" s="43" t="n">
        <x:v>4</x:v>
      </x:c>
      <x:c r="H66" s="39" t="str">
        <x:v>VALID</x:v>
      </x:c>
    </x:row>
    <x:row r="67">
      <x:c r="A67" s="39" t="str">
        <x:v>2026-08-15</x:v>
      </x:c>
      <x:c r="B67" s="43" t="n">
        <x:v>3</x:v>
      </x:c>
      <x:c r="C67" s="39" t="str">
        <x:v>KK之王</x:v>
      </x:c>
      <x:c r="D67" s="42" t="n">
        <x:v>-30</x:v>
      </x:c>
      <x:c r="E67" s="41" t="b">
        <x:v>1</x:v>
      </x:c>
      <x:c r="F67" s="39" t="str">
        <x:v>260815</x:v>
      </x:c>
      <x:c r="G67" s="43" t="n">
        <x:v>4</x:v>
      </x:c>
      <x:c r="H67" s="39" t="str">
        <x:v>VALID</x:v>
      </x:c>
    </x:row>
    <x:row r="68">
      <x:c r="A68" s="39" t="str">
        <x:v>2026-08-15</x:v>
      </x:c>
      <x:c r="B68" s="43" t="n">
        <x:v>3</x:v>
      </x:c>
      <x:c r="C68" s="39" t="str">
        <x:v>淡水金城武</x:v>
      </x:c>
      <x:c r="D68" s="42" t="n">
        <x:v>0</x:v>
      </x:c>
      <x:c r="E68" s="41" t="b">
        <x:v>1</x:v>
      </x:c>
      <x:c r="F68" s="39" t="str">
        <x:v>260815</x:v>
      </x:c>
      <x:c r="G68" s="43" t="n">
        <x:v>4</x:v>
      </x:c>
      <x:c r="H68" s="39" t="str">
        <x:v>VALID</x:v>
      </x:c>
    </x:row>
    <x:row r="69">
      <x:c r="A69" s="39" t="str">
        <x:v>2026-08-15</x:v>
      </x:c>
      <x:c r="B69" s="43" t="n">
        <x:v>3</x:v>
      </x:c>
      <x:c r="C69" s="39" t="str">
        <x:v>中</x:v>
      </x:c>
      <x:c r="D69" s="42" t="n">
        <x:v>-155</x:v>
      </x:c>
      <x:c r="E69" s="41" t="b">
        <x:v>1</x:v>
      </x:c>
      <x:c r="F69" s="39" t="str">
        <x:v>260815</x:v>
      </x:c>
      <x:c r="G69" s="43" t="n">
        <x:v>4</x:v>
      </x:c>
      <x:c r="H69" s="39" t="str">
        <x:v>VALID</x:v>
      </x:c>
    </x:row>
    <x:row r="70">
      <x:c r="A70" s="39" t="str">
        <x:v>2026-08-15</x:v>
      </x:c>
      <x:c r="B70" s="43" t="n">
        <x:v>3</x:v>
      </x:c>
      <x:c r="C70" s="39" t="str">
        <x:v>我是你爸</x:v>
      </x:c>
      <x:c r="D70" s="42" t="n">
        <x:v>452.5</x:v>
      </x:c>
      <x:c r="E70" s="41" t="b">
        <x:v>1</x:v>
      </x:c>
      <x:c r="F70" s="39" t="str">
        <x:v>260815</x:v>
      </x:c>
      <x:c r="G70" s="43" t="n">
        <x:v>4</x:v>
      </x:c>
      <x:c r="H70" s="39" t="str">
        <x:v>VALID</x:v>
      </x:c>
    </x:row>
    <x:row r="71">
      <x:c r="A71" s="39" t="str">
        <x:v>2026-08-15</x:v>
      </x:c>
      <x:c r="B71" s="43" t="n">
        <x:v>3</x:v>
      </x:c>
      <x:c r="C71" s="39" t="str">
        <x:v>大舅哥</x:v>
      </x:c>
      <x:c r="D71" s="42" t="n">
        <x:v>25</x:v>
      </x:c>
      <x:c r="E71" s="41" t="b">
        <x:v>1</x:v>
      </x:c>
      <x:c r="F71" s="39" t="str">
        <x:v>260815</x:v>
      </x:c>
      <x:c r="G71" s="43" t="n">
        <x:v>4</x:v>
      </x:c>
      <x:c r="H71" s="39" t="str">
        <x:v>VALID</x:v>
      </x:c>
    </x:row>
    <x:row r="72">
      <x:c r="A72" s="39" t="str">
        <x:v>2026-08-15</x:v>
      </x:c>
      <x:c r="B72" s="43" t="n">
        <x:v>3</x:v>
      </x:c>
      <x:c r="C72" s="39" t="str">
        <x:v>帥潮</x:v>
      </x:c>
      <x:c r="D72" s="42" t="n">
        <x:v>-250</x:v>
      </x:c>
      <x:c r="E72" s="41" t="b">
        <x:v>1</x:v>
      </x:c>
      <x:c r="F72" s="39" t="str">
        <x:v>260815</x:v>
      </x:c>
      <x:c r="G72" s="43" t="n">
        <x:v>4</x:v>
      </x:c>
      <x:c r="H72" s="39" t="str">
        <x:v>VALID</x:v>
      </x:c>
    </x:row>
    <x:row r="73">
      <x:c r="A73" s="39" t="str">
        <x:v>2026-08-15</x:v>
      </x:c>
      <x:c r="B73" s="43" t="n">
        <x:v>4</x:v>
      </x:c>
      <x:c r="C73" s="39" t="str">
        <x:v>強的可怕</x:v>
      </x:c>
      <x:c r="D73" s="42" t="n">
        <x:v>72.5</x:v>
      </x:c>
      <x:c r="E73" s="41" t="b">
        <x:v>1</x:v>
      </x:c>
      <x:c r="F73" s="39" t="str">
        <x:v>260815</x:v>
      </x:c>
      <x:c r="G73" s="43" t="n">
        <x:v>5</x:v>
      </x:c>
      <x:c r="H73" s="39" t="str">
        <x:v>VALID</x:v>
      </x:c>
    </x:row>
    <x:row r="74">
      <x:c r="A74" s="39" t="str">
        <x:v>2026-08-15</x:v>
      </x:c>
      <x:c r="B74" s="43" t="n">
        <x:v>4</x:v>
      </x:c>
      <x:c r="C74" s="39" t="str">
        <x:v>KK之王</x:v>
      </x:c>
      <x:c r="D74" s="42" t="n">
        <x:v>0</x:v>
      </x:c>
      <x:c r="E74" s="41" t="b">
        <x:v>1</x:v>
      </x:c>
      <x:c r="F74" s="39" t="str">
        <x:v>260815</x:v>
      </x:c>
      <x:c r="G74" s="43" t="n">
        <x:v>5</x:v>
      </x:c>
      <x:c r="H74" s="39" t="str">
        <x:v>VALID</x:v>
      </x:c>
    </x:row>
    <x:row r="75">
      <x:c r="A75" s="39" t="str">
        <x:v>2026-08-15</x:v>
      </x:c>
      <x:c r="B75" s="43" t="n">
        <x:v>4</x:v>
      </x:c>
      <x:c r="C75" s="39" t="str">
        <x:v>淡水金城武</x:v>
      </x:c>
      <x:c r="D75" s="42" t="n">
        <x:v>10</x:v>
      </x:c>
      <x:c r="E75" s="41" t="b">
        <x:v>1</x:v>
      </x:c>
      <x:c r="F75" s="39" t="str">
        <x:v>260815</x:v>
      </x:c>
      <x:c r="G75" s="43" t="n">
        <x:v>5</x:v>
      </x:c>
      <x:c r="H75" s="39" t="str">
        <x:v>VALID</x:v>
      </x:c>
    </x:row>
    <x:row r="76">
      <x:c r="A76" s="39" t="str">
        <x:v>2026-08-15</x:v>
      </x:c>
      <x:c r="B76" s="43" t="n">
        <x:v>4</x:v>
      </x:c>
      <x:c r="C76" s="39" t="str">
        <x:v>中</x:v>
      </x:c>
      <x:c r="D76" s="42" t="n">
        <x:v>-5</x:v>
      </x:c>
      <x:c r="E76" s="41" t="b">
        <x:v>1</x:v>
      </x:c>
      <x:c r="F76" s="39" t="str">
        <x:v>260815</x:v>
      </x:c>
      <x:c r="G76" s="43" t="n">
        <x:v>5</x:v>
      </x:c>
      <x:c r="H76" s="39" t="str">
        <x:v>VALID</x:v>
      </x:c>
    </x:row>
    <x:row r="77">
      <x:c r="A77" s="39" t="str">
        <x:v>2026-08-15</x:v>
      </x:c>
      <x:c r="B77" s="43" t="n">
        <x:v>4</x:v>
      </x:c>
      <x:c r="C77" s="39" t="str">
        <x:v>我是你爸</x:v>
      </x:c>
      <x:c r="D77" s="42" t="n">
        <x:v>180</x:v>
      </x:c>
      <x:c r="E77" s="41" t="b">
        <x:v>1</x:v>
      </x:c>
      <x:c r="F77" s="39" t="str">
        <x:v>260815</x:v>
      </x:c>
      <x:c r="G77" s="43" t="n">
        <x:v>5</x:v>
      </x:c>
      <x:c r="H77" s="39" t="str">
        <x:v>VALID</x:v>
      </x:c>
    </x:row>
    <x:row r="78">
      <x:c r="A78" s="39" t="str">
        <x:v>2026-08-15</x:v>
      </x:c>
      <x:c r="B78" s="43" t="n">
        <x:v>4</x:v>
      </x:c>
      <x:c r="C78" s="39" t="str">
        <x:v>大舅哥</x:v>
      </x:c>
      <x:c r="D78" s="42" t="n">
        <x:v>-7.5</x:v>
      </x:c>
      <x:c r="E78" s="41" t="b">
        <x:v>1</x:v>
      </x:c>
      <x:c r="F78" s="39" t="str">
        <x:v>260815</x:v>
      </x:c>
      <x:c r="G78" s="43" t="n">
        <x:v>5</x:v>
      </x:c>
      <x:c r="H78" s="39" t="str">
        <x:v>VALID</x:v>
      </x:c>
    </x:row>
    <x:row r="79">
      <x:c r="A79" s="39" t="str">
        <x:v>2026-08-15</x:v>
      </x:c>
      <x:c r="B79" s="43" t="n">
        <x:v>4</x:v>
      </x:c>
      <x:c r="C79" s="39" t="str">
        <x:v>帥潮</x:v>
      </x:c>
      <x:c r="D79" s="42" t="n">
        <x:v>-250</x:v>
      </x:c>
      <x:c r="E79" s="41" t="b">
        <x:v>1</x:v>
      </x:c>
      <x:c r="F79" s="39" t="str">
        <x:v>260815</x:v>
      </x:c>
      <x:c r="G79" s="43" t="n">
        <x:v>5</x:v>
      </x:c>
      <x:c r="H79" s="39" t="str">
        <x:v>VALID</x:v>
      </x:c>
    </x:row>
    <x:row r="80">
      <x:c r="A80" s="39" t="str">
        <x:v>2026-08-15</x:v>
      </x:c>
      <x:c r="B80" s="43" t="n">
        <x:v>5</x:v>
      </x:c>
      <x:c r="C80" s="39" t="str">
        <x:v>強的可怕</x:v>
      </x:c>
      <x:c r="D80" s="42" t="n">
        <x:v>0</x:v>
      </x:c>
      <x:c r="E80" s="41" t="b">
        <x:v>1</x:v>
      </x:c>
      <x:c r="F80" s="39" t="str">
        <x:v>260815</x:v>
      </x:c>
      <x:c r="G80" s="43" t="n">
        <x:v>6</x:v>
      </x:c>
      <x:c r="H80" s="39" t="str">
        <x:v>VALID</x:v>
      </x:c>
    </x:row>
    <x:row r="81">
      <x:c r="A81" s="39" t="str">
        <x:v>2026-08-15</x:v>
      </x:c>
      <x:c r="B81" s="43" t="n">
        <x:v>5</x:v>
      </x:c>
      <x:c r="C81" s="39" t="str">
        <x:v>KK之王</x:v>
      </x:c>
      <x:c r="D81" s="42" t="n">
        <x:v>-250</x:v>
      </x:c>
      <x:c r="E81" s="41" t="b">
        <x:v>1</x:v>
      </x:c>
      <x:c r="F81" s="39" t="str">
        <x:v>260815</x:v>
      </x:c>
      <x:c r="G81" s="43" t="n">
        <x:v>6</x:v>
      </x:c>
      <x:c r="H81" s="39" t="str">
        <x:v>VALID</x:v>
      </x:c>
    </x:row>
    <x:row r="82">
      <x:c r="A82" s="39" t="str">
        <x:v>2026-08-15</x:v>
      </x:c>
      <x:c r="B82" s="43" t="n">
        <x:v>5</x:v>
      </x:c>
      <x:c r="C82" s="39" t="str">
        <x:v>淡水金城武</x:v>
      </x:c>
      <x:c r="D82" s="42" t="n">
        <x:v>0</x:v>
      </x:c>
      <x:c r="E82" s="41" t="b">
        <x:v>1</x:v>
      </x:c>
      <x:c r="F82" s="39" t="str">
        <x:v>260815</x:v>
      </x:c>
      <x:c r="G82" s="43" t="n">
        <x:v>6</x:v>
      </x:c>
      <x:c r="H82" s="39" t="str">
        <x:v>VALID</x:v>
      </x:c>
    </x:row>
    <x:row r="83">
      <x:c r="A83" s="39" t="str">
        <x:v>2026-08-15</x:v>
      </x:c>
      <x:c r="B83" s="43" t="n">
        <x:v>5</x:v>
      </x:c>
      <x:c r="C83" s="39" t="str">
        <x:v>中</x:v>
      </x:c>
      <x:c r="D83" s="42" t="n">
        <x:v>0</x:v>
      </x:c>
      <x:c r="E83" s="41" t="b">
        <x:v>1</x:v>
      </x:c>
      <x:c r="F83" s="39" t="str">
        <x:v>260815</x:v>
      </x:c>
      <x:c r="G83" s="43" t="n">
        <x:v>6</x:v>
      </x:c>
      <x:c r="H83" s="39" t="str">
        <x:v>VALID</x:v>
      </x:c>
    </x:row>
    <x:row r="84">
      <x:c r="A84" s="39" t="str">
        <x:v>2026-08-15</x:v>
      </x:c>
      <x:c r="B84" s="43" t="n">
        <x:v>5</x:v>
      </x:c>
      <x:c r="C84" s="39" t="str">
        <x:v>我是你爸</x:v>
      </x:c>
      <x:c r="D84" s="42" t="n">
        <x:v>250</x:v>
      </x:c>
      <x:c r="E84" s="41" t="b">
        <x:v>1</x:v>
      </x:c>
      <x:c r="F84" s="39" t="str">
        <x:v>260815</x:v>
      </x:c>
      <x:c r="G84" s="43" t="n">
        <x:v>6</x:v>
      </x:c>
      <x:c r="H84" s="39" t="str">
        <x:v>VALID</x:v>
      </x:c>
    </x:row>
    <x:row r="85">
      <x:c r="A85" s="39" t="str">
        <x:v>2026-08-15</x:v>
      </x:c>
      <x:c r="B85" s="43" t="n">
        <x:v>5</x:v>
      </x:c>
      <x:c r="C85" s="39" t="str">
        <x:v>大舅哥</x:v>
      </x:c>
      <x:c r="D85" s="42" t="n">
        <x:v>0</x:v>
      </x:c>
      <x:c r="E85" s="41" t="b">
        <x:v>1</x:v>
      </x:c>
      <x:c r="F85" s="39" t="str">
        <x:v>260815</x:v>
      </x:c>
      <x:c r="G85" s="43" t="n">
        <x:v>6</x:v>
      </x:c>
      <x:c r="H85" s="39" t="str">
        <x:v>VALID</x:v>
      </x:c>
    </x:row>
    <x:row r="86">
      <x:c r="A86" s="39" t="str">
        <x:v>2026-08-15</x:v>
      </x:c>
      <x:c r="B86" s="43" t="n">
        <x:v>5</x:v>
      </x:c>
      <x:c r="C86" s="39" t="str">
        <x:v>帥潮</x:v>
      </x:c>
      <x:c r="D86" s="42" t="n">
        <x:v>0</x:v>
      </x:c>
      <x:c r="E86" s="41" t="b">
        <x:v>1</x:v>
      </x:c>
      <x:c r="F86" s="39" t="str">
        <x:v>260815</x:v>
      </x:c>
      <x:c r="G86" s="43" t="n">
        <x:v>6</x:v>
      </x:c>
      <x:c r="H86" s="39" t="str">
        <x:v>VALID</x:v>
      </x:c>
    </x:row>
    <x:row r="87">
      <x:c r="A87" s="39" t="str">
        <x:v>2026-08-15</x:v>
      </x:c>
      <x:c r="B87" s="43" t="n">
        <x:v>6</x:v>
      </x:c>
      <x:c r="C87" s="39" t="str">
        <x:v>強的可怕</x:v>
      </x:c>
      <x:c r="D87" s="42" t="n">
        <x:v>62.5</x:v>
      </x:c>
      <x:c r="E87" s="41" t="b">
        <x:v>1</x:v>
      </x:c>
      <x:c r="F87" s="39" t="str">
        <x:v>260815</x:v>
      </x:c>
      <x:c r="G87" s="43" t="n">
        <x:v>7</x:v>
      </x:c>
      <x:c r="H87" s="39" t="str">
        <x:v>VALID</x:v>
      </x:c>
    </x:row>
    <x:row r="88">
      <x:c r="A88" s="39" t="str">
        <x:v>2026-08-15</x:v>
      </x:c>
      <x:c r="B88" s="43" t="n">
        <x:v>6</x:v>
      </x:c>
      <x:c r="C88" s="39" t="str">
        <x:v>KK之王</x:v>
      </x:c>
      <x:c r="D88" s="42" t="n">
        <x:v>-77.5</x:v>
      </x:c>
      <x:c r="E88" s="41" t="b">
        <x:v>1</x:v>
      </x:c>
      <x:c r="F88" s="39" t="str">
        <x:v>260815</x:v>
      </x:c>
      <x:c r="G88" s="43" t="n">
        <x:v>7</x:v>
      </x:c>
      <x:c r="H88" s="39" t="str">
        <x:v>VALID</x:v>
      </x:c>
    </x:row>
    <x:row r="89">
      <x:c r="A89" s="39" t="str">
        <x:v>2026-08-15</x:v>
      </x:c>
      <x:c r="B89" s="43" t="n">
        <x:v>6</x:v>
      </x:c>
      <x:c r="C89" s="39" t="str">
        <x:v>淡水金城武</x:v>
      </x:c>
      <x:c r="D89" s="42" t="n">
        <x:v>100</x:v>
      </x:c>
      <x:c r="E89" s="41" t="b">
        <x:v>1</x:v>
      </x:c>
      <x:c r="F89" s="39" t="str">
        <x:v>260815</x:v>
      </x:c>
      <x:c r="G89" s="43" t="n">
        <x:v>7</x:v>
      </x:c>
      <x:c r="H89" s="39" t="str">
        <x:v>VALID</x:v>
      </x:c>
    </x:row>
    <x:row r="90">
      <x:c r="A90" s="39" t="str">
        <x:v>2026-08-15</x:v>
      </x:c>
      <x:c r="B90" s="43" t="n">
        <x:v>6</x:v>
      </x:c>
      <x:c r="C90" s="39" t="str">
        <x:v>中</x:v>
      </x:c>
      <x:c r="D90" s="42" t="n">
        <x:v>5</x:v>
      </x:c>
      <x:c r="E90" s="41" t="b">
        <x:v>1</x:v>
      </x:c>
      <x:c r="F90" s="39" t="str">
        <x:v>260815</x:v>
      </x:c>
      <x:c r="G90" s="43" t="n">
        <x:v>7</x:v>
      </x:c>
      <x:c r="H90" s="39" t="str">
        <x:v>VALID</x:v>
      </x:c>
    </x:row>
    <x:row r="91">
      <x:c r="A91" s="39" t="str">
        <x:v>2026-08-15</x:v>
      </x:c>
      <x:c r="B91" s="43" t="n">
        <x:v>6</x:v>
      </x:c>
      <x:c r="C91" s="39" t="str">
        <x:v>我是你爸</x:v>
      </x:c>
      <x:c r="D91" s="42" t="n">
        <x:v>30</x:v>
      </x:c>
      <x:c r="E91" s="41" t="b">
        <x:v>1</x:v>
      </x:c>
      <x:c r="F91" s="39" t="str">
        <x:v>260815</x:v>
      </x:c>
      <x:c r="G91" s="43" t="n">
        <x:v>7</x:v>
      </x:c>
      <x:c r="H91" s="39" t="str">
        <x:v>VALID</x:v>
      </x:c>
    </x:row>
    <x:row r="92">
      <x:c r="A92" s="39" t="str">
        <x:v>2026-08-15</x:v>
      </x:c>
      <x:c r="B92" s="43" t="n">
        <x:v>6</x:v>
      </x:c>
      <x:c r="C92" s="39" t="str">
        <x:v>大舅哥</x:v>
      </x:c>
      <x:c r="D92" s="42" t="n">
        <x:v>130</x:v>
      </x:c>
      <x:c r="E92" s="41" t="b">
        <x:v>1</x:v>
      </x:c>
      <x:c r="F92" s="39" t="str">
        <x:v>260815</x:v>
      </x:c>
      <x:c r="G92" s="43" t="n">
        <x:v>7</x:v>
      </x:c>
      <x:c r="H92" s="39" t="str">
        <x:v>VALID</x:v>
      </x:c>
    </x:row>
    <x:row r="93">
      <x:c r="A93" s="39" t="str">
        <x:v>2026-08-15</x:v>
      </x:c>
      <x:c r="B93" s="43" t="n">
        <x:v>6</x:v>
      </x:c>
      <x:c r="C93" s="39" t="str">
        <x:v>帥潮</x:v>
      </x:c>
      <x:c r="D93" s="42" t="n">
        <x:v>-250</x:v>
      </x:c>
      <x:c r="E93" s="41" t="b">
        <x:v>1</x:v>
      </x:c>
      <x:c r="F93" s="39" t="str">
        <x:v>260815</x:v>
      </x:c>
      <x:c r="G93" s="43" t="n">
        <x:v>7</x:v>
      </x:c>
      <x:c r="H93" s="39" t="str">
        <x:v>VALID</x:v>
      </x:c>
    </x:row>
    <x:row r="94">
      <x:c r="A94" s="39" t="str">
        <x:v>2026-08-15</x:v>
      </x:c>
      <x:c r="B94" s="43" t="n">
        <x:v>7</x:v>
      </x:c>
      <x:c r="C94" s="39" t="str">
        <x:v>強的可怕</x:v>
      </x:c>
      <x:c r="D94" s="42" t="n">
        <x:v>-140</x:v>
      </x:c>
      <x:c r="E94" s="41" t="b">
        <x:v>1</x:v>
      </x:c>
      <x:c r="F94" s="39" t="str">
        <x:v>260815</x:v>
      </x:c>
      <x:c r="G94" s="43" t="n">
        <x:v>8</x:v>
      </x:c>
      <x:c r="H94" s="39" t="str">
        <x:v>VALID</x:v>
      </x:c>
    </x:row>
    <x:row r="95">
      <x:c r="A95" s="39" t="str">
        <x:v>2026-08-15</x:v>
      </x:c>
      <x:c r="B95" s="43" t="n">
        <x:v>7</x:v>
      </x:c>
      <x:c r="C95" s="39" t="str">
        <x:v>KK之王</x:v>
      </x:c>
      <x:c r="D95" s="42" t="n">
        <x:v>385</x:v>
      </x:c>
      <x:c r="E95" s="41" t="b">
        <x:v>1</x:v>
      </x:c>
      <x:c r="F95" s="39" t="str">
        <x:v>260815</x:v>
      </x:c>
      <x:c r="G95" s="43" t="n">
        <x:v>8</x:v>
      </x:c>
      <x:c r="H95" s="39" t="str">
        <x:v>VALID</x:v>
      </x:c>
    </x:row>
    <x:row r="96">
      <x:c r="A96" s="39" t="str">
        <x:v>2026-08-15</x:v>
      </x:c>
      <x:c r="B96" s="43" t="n">
        <x:v>7</x:v>
      </x:c>
      <x:c r="C96" s="39" t="str">
        <x:v>淡水金城武</x:v>
      </x:c>
      <x:c r="D96" s="42" t="n">
        <x:v>50</x:v>
      </x:c>
      <x:c r="E96" s="41" t="b">
        <x:v>1</x:v>
      </x:c>
      <x:c r="F96" s="39" t="str">
        <x:v>260815</x:v>
      </x:c>
      <x:c r="G96" s="43" t="n">
        <x:v>8</x:v>
      </x:c>
      <x:c r="H96" s="39" t="str">
        <x:v>VALID</x:v>
      </x:c>
    </x:row>
    <x:row r="97">
      <x:c r="A97" s="39" t="str">
        <x:v>2026-08-15</x:v>
      </x:c>
      <x:c r="B97" s="43" t="n">
        <x:v>7</x:v>
      </x:c>
      <x:c r="C97" s="39" t="str">
        <x:v>中</x:v>
      </x:c>
      <x:c r="D97" s="42" t="n">
        <x:v>0</x:v>
      </x:c>
      <x:c r="E97" s="41" t="b">
        <x:v>1</x:v>
      </x:c>
      <x:c r="F97" s="39" t="str">
        <x:v>260815</x:v>
      </x:c>
      <x:c r="G97" s="43" t="n">
        <x:v>8</x:v>
      </x:c>
      <x:c r="H97" s="39" t="str">
        <x:v>VALID</x:v>
      </x:c>
    </x:row>
    <x:row r="98">
      <x:c r="A98" s="39" t="str">
        <x:v>2026-08-15</x:v>
      </x:c>
      <x:c r="B98" s="43" t="n">
        <x:v>7</x:v>
      </x:c>
      <x:c r="C98" s="39" t="str">
        <x:v>我是你爸</x:v>
      </x:c>
      <x:c r="D98" s="42" t="n">
        <x:v>110</x:v>
      </x:c>
      <x:c r="E98" s="41" t="b">
        <x:v>1</x:v>
      </x:c>
      <x:c r="F98" s="39" t="str">
        <x:v>260815</x:v>
      </x:c>
      <x:c r="G98" s="43" t="n">
        <x:v>8</x:v>
      </x:c>
      <x:c r="H98" s="39" t="str">
        <x:v>VALID</x:v>
      </x:c>
    </x:row>
    <x:row r="99">
      <x:c r="A99" s="39" t="str">
        <x:v>2026-08-15</x:v>
      </x:c>
      <x:c r="B99" s="43" t="n">
        <x:v>7</x:v>
      </x:c>
      <x:c r="C99" s="39" t="str">
        <x:v>大舅哥</x:v>
      </x:c>
      <x:c r="D99" s="42" t="n">
        <x:v>-155</x:v>
      </x:c>
      <x:c r="E99" s="41" t="b">
        <x:v>1</x:v>
      </x:c>
      <x:c r="F99" s="39" t="str">
        <x:v>260815</x:v>
      </x:c>
      <x:c r="G99" s="43" t="n">
        <x:v>8</x:v>
      </x:c>
      <x:c r="H99" s="39" t="str">
        <x:v>VALID</x:v>
      </x:c>
    </x:row>
    <x:row r="100">
      <x:c r="A100" s="39" t="str">
        <x:v>2026-08-15</x:v>
      </x:c>
      <x:c r="B100" s="43" t="n">
        <x:v>7</x:v>
      </x:c>
      <x:c r="C100" s="39" t="str">
        <x:v>帥潮</x:v>
      </x:c>
      <x:c r="D100" s="42" t="n">
        <x:v>-250</x:v>
      </x:c>
      <x:c r="E100" s="41" t="b">
        <x:v>1</x:v>
      </x:c>
      <x:c r="F100" s="39" t="str">
        <x:v>260815</x:v>
      </x:c>
      <x:c r="G100" s="43" t="n">
        <x:v>8</x:v>
      </x:c>
      <x:c r="H100" s="39" t="str">
        <x:v>VALID</x:v>
      </x:c>
    </x:row>
    <x:row r="101">
      <x:c r="A101" s="39" t="str">
        <x:v>2026-08-15</x:v>
      </x:c>
      <x:c r="B101" s="43" t="n">
        <x:v>8</x:v>
      </x:c>
      <x:c r="C101" s="39" t="str">
        <x:v>強的可怕</x:v>
      </x:c>
      <x:c r="D101" s="42" t="n">
        <x:v>-47.5</x:v>
      </x:c>
      <x:c r="E101" s="41" t="b">
        <x:v>1</x:v>
      </x:c>
      <x:c r="F101" s="39" t="str">
        <x:v>260815</x:v>
      </x:c>
      <x:c r="G101" s="43" t="n">
        <x:v>9</x:v>
      </x:c>
      <x:c r="H101" s="39" t="str">
        <x:v>VALID</x:v>
      </x:c>
    </x:row>
    <x:row r="102">
      <x:c r="A102" s="39" t="str">
        <x:v>2026-08-15</x:v>
      </x:c>
      <x:c r="B102" s="43" t="n">
        <x:v>8</x:v>
      </x:c>
      <x:c r="C102" s="39" t="str">
        <x:v>KK之王</x:v>
      </x:c>
      <x:c r="D102" s="42" t="n">
        <x:v>-67.5</x:v>
      </x:c>
      <x:c r="E102" s="41" t="b">
        <x:v>1</x:v>
      </x:c>
      <x:c r="F102" s="39" t="str">
        <x:v>260815</x:v>
      </x:c>
      <x:c r="G102" s="43" t="n">
        <x:v>9</x:v>
      </x:c>
      <x:c r="H102" s="39" t="str">
        <x:v>VALID</x:v>
      </x:c>
    </x:row>
    <x:row r="103">
      <x:c r="A103" s="39" t="str">
        <x:v>2026-08-15</x:v>
      </x:c>
      <x:c r="B103" s="43" t="n">
        <x:v>8</x:v>
      </x:c>
      <x:c r="C103" s="39" t="str">
        <x:v>淡水金城武</x:v>
      </x:c>
      <x:c r="D103" s="42" t="n">
        <x:v>-250</x:v>
      </x:c>
      <x:c r="E103" s="41" t="b">
        <x:v>1</x:v>
      </x:c>
      <x:c r="F103" s="39" t="str">
        <x:v>260815</x:v>
      </x:c>
      <x:c r="G103" s="43" t="n">
        <x:v>9</x:v>
      </x:c>
      <x:c r="H103" s="39" t="str">
        <x:v>VALID</x:v>
      </x:c>
    </x:row>
    <x:row r="104">
      <x:c r="A104" s="39" t="str">
        <x:v>2026-08-15</x:v>
      </x:c>
      <x:c r="B104" s="43" t="n">
        <x:v>8</x:v>
      </x:c>
      <x:c r="C104" s="39" t="str">
        <x:v>中</x:v>
      </x:c>
      <x:c r="D104" s="42" t="n">
        <x:v>-102.5</x:v>
      </x:c>
      <x:c r="E104" s="41" t="b">
        <x:v>1</x:v>
      </x:c>
      <x:c r="F104" s="39" t="str">
        <x:v>260815</x:v>
      </x:c>
      <x:c r="G104" s="43" t="n">
        <x:v>9</x:v>
      </x:c>
      <x:c r="H104" s="39" t="str">
        <x:v>VALID</x:v>
      </x:c>
    </x:row>
    <x:row r="105">
      <x:c r="A105" s="39" t="str">
        <x:v>2026-08-15</x:v>
      </x:c>
      <x:c r="B105" s="43" t="n">
        <x:v>8</x:v>
      </x:c>
      <x:c r="C105" s="39" t="str">
        <x:v>我是你爸</x:v>
      </x:c>
      <x:c r="D105" s="42" t="n">
        <x:v>377.5</x:v>
      </x:c>
      <x:c r="E105" s="41" t="b">
        <x:v>1</x:v>
      </x:c>
      <x:c r="F105" s="39" t="str">
        <x:v>260815</x:v>
      </x:c>
      <x:c r="G105" s="43" t="n">
        <x:v>9</x:v>
      </x:c>
      <x:c r="H105" s="39" t="str">
        <x:v>VALID</x:v>
      </x:c>
    </x:row>
    <x:row r="106">
      <x:c r="A106" s="39" t="str">
        <x:v>2026-08-15</x:v>
      </x:c>
      <x:c r="B106" s="43" t="n">
        <x:v>8</x:v>
      </x:c>
      <x:c r="C106" s="39" t="str">
        <x:v>大舅哥</x:v>
      </x:c>
      <x:c r="D106" s="42" t="n">
        <x:v>-10</x:v>
      </x:c>
      <x:c r="E106" s="41" t="b">
        <x:v>1</x:v>
      </x:c>
      <x:c r="F106" s="39" t="str">
        <x:v>260815</x:v>
      </x:c>
      <x:c r="G106" s="43" t="n">
        <x:v>9</x:v>
      </x:c>
      <x:c r="H106" s="39" t="str">
        <x:v>VALID</x:v>
      </x:c>
    </x:row>
    <x:row r="107">
      <x:c r="A107" s="39" t="str">
        <x:v>2026-08-15</x:v>
      </x:c>
      <x:c r="B107" s="43" t="n">
        <x:v>8</x:v>
      </x:c>
      <x:c r="C107" s="39" t="str">
        <x:v>帥潮</x:v>
      </x:c>
      <x:c r="D107" s="42" t="n">
        <x:v>100</x:v>
      </x:c>
      <x:c r="E107" s="41" t="b">
        <x:v>1</x:v>
      </x:c>
      <x:c r="F107" s="39" t="str">
        <x:v>260815</x:v>
      </x:c>
      <x:c r="G107" s="43" t="n">
        <x:v>9</x:v>
      </x:c>
      <x:c r="H107" s="39" t="str">
        <x:v>VALID</x:v>
      </x:c>
    </x:row>
    <x:row r="108">
      <x:c r="A108" s="39" t="str">
        <x:v>2026-08-15</x:v>
      </x:c>
      <x:c r="B108" s="43" t="n">
        <x:v>9</x:v>
      </x:c>
      <x:c r="C108" s="39" t="str">
        <x:v>強的可怕</x:v>
      </x:c>
      <x:c r="D108" s="42" t="n">
        <x:v>-250</x:v>
      </x:c>
      <x:c r="E108" s="41" t="b">
        <x:v>1</x:v>
      </x:c>
      <x:c r="F108" s="39" t="str">
        <x:v>260815</x:v>
      </x:c>
      <x:c r="G108" s="43" t="n">
        <x:v>10</x:v>
      </x:c>
      <x:c r="H108" s="39" t="str">
        <x:v>VALID</x:v>
      </x:c>
    </x:row>
    <x:row r="109">
      <x:c r="A109" s="39" t="str">
        <x:v>2026-08-15</x:v>
      </x:c>
      <x:c r="B109" s="43" t="n">
        <x:v>9</x:v>
      </x:c>
      <x:c r="C109" s="39" t="str">
        <x:v>KK之王</x:v>
      </x:c>
      <x:c r="D109" s="42" t="n">
        <x:v>-37.5</x:v>
      </x:c>
      <x:c r="E109" s="41" t="b">
        <x:v>1</x:v>
      </x:c>
      <x:c r="F109" s="39" t="str">
        <x:v>260815</x:v>
      </x:c>
      <x:c r="G109" s="43" t="n">
        <x:v>10</x:v>
      </x:c>
      <x:c r="H109" s="39" t="str">
        <x:v>VALID</x:v>
      </x:c>
    </x:row>
    <x:row r="110">
      <x:c r="A110" s="39" t="str">
        <x:v>2026-08-15</x:v>
      </x:c>
      <x:c r="B110" s="43" t="n">
        <x:v>9</x:v>
      </x:c>
      <x:c r="C110" s="39" t="str">
        <x:v>淡水金城武</x:v>
      </x:c>
      <x:c r="D110" s="42" t="n">
        <x:v>-25</x:v>
      </x:c>
      <x:c r="E110" s="41" t="b">
        <x:v>1</x:v>
      </x:c>
      <x:c r="F110" s="39" t="str">
        <x:v>260815</x:v>
      </x:c>
      <x:c r="G110" s="43" t="n">
        <x:v>10</x:v>
      </x:c>
      <x:c r="H110" s="39" t="str">
        <x:v>VALID</x:v>
      </x:c>
    </x:row>
    <x:row r="111">
      <x:c r="A111" s="39" t="str">
        <x:v>2026-08-15</x:v>
      </x:c>
      <x:c r="B111" s="43" t="n">
        <x:v>9</x:v>
      </x:c>
      <x:c r="C111" s="39" t="str">
        <x:v>中</x:v>
      </x:c>
      <x:c r="D111" s="42" t="n">
        <x:v>-42.5</x:v>
      </x:c>
      <x:c r="E111" s="41" t="b">
        <x:v>1</x:v>
      </x:c>
      <x:c r="F111" s="39" t="str">
        <x:v>260815</x:v>
      </x:c>
      <x:c r="G111" s="43" t="n">
        <x:v>10</x:v>
      </x:c>
      <x:c r="H111" s="39" t="str">
        <x:v>VALID</x:v>
      </x:c>
    </x:row>
    <x:row r="112">
      <x:c r="A112" s="39" t="str">
        <x:v>2026-08-15</x:v>
      </x:c>
      <x:c r="B112" s="43" t="n">
        <x:v>9</x:v>
      </x:c>
      <x:c r="C112" s="39" t="str">
        <x:v>我是你爸</x:v>
      </x:c>
      <x:c r="D112" s="42" t="n">
        <x:v>265</x:v>
      </x:c>
      <x:c r="E112" s="41" t="b">
        <x:v>1</x:v>
      </x:c>
      <x:c r="F112" s="39" t="str">
        <x:v>260815</x:v>
      </x:c>
      <x:c r="G112" s="43" t="n">
        <x:v>10</x:v>
      </x:c>
      <x:c r="H112" s="39" t="str">
        <x:v>VALID</x:v>
      </x:c>
    </x:row>
    <x:row r="113">
      <x:c r="A113" s="39" t="str">
        <x:v>2026-08-15</x:v>
      </x:c>
      <x:c r="B113" s="43" t="n">
        <x:v>9</x:v>
      </x:c>
      <x:c r="C113" s="39" t="str">
        <x:v>大舅哥</x:v>
      </x:c>
      <x:c r="D113" s="42" t="n">
        <x:v>-85</x:v>
      </x:c>
      <x:c r="E113" s="41" t="b">
        <x:v>1</x:v>
      </x:c>
      <x:c r="F113" s="39" t="str">
        <x:v>260815</x:v>
      </x:c>
      <x:c r="G113" s="43" t="n">
        <x:v>10</x:v>
      </x:c>
      <x:c r="H113" s="39" t="str">
        <x:v>VALID</x:v>
      </x:c>
    </x:row>
    <x:row r="114">
      <x:c r="A114" s="39" t="str">
        <x:v>2026-08-15</x:v>
      </x:c>
      <x:c r="B114" s="43" t="n">
        <x:v>9</x:v>
      </x:c>
      <x:c r="C114" s="39" t="str">
        <x:v>帥潮</x:v>
      </x:c>
      <x:c r="D114" s="42" t="n">
        <x:v>175</x:v>
      </x:c>
      <x:c r="E114" s="41" t="b">
        <x:v>1</x:v>
      </x:c>
      <x:c r="F114" s="39" t="str">
        <x:v>260815</x:v>
      </x:c>
      <x:c r="G114" s="43" t="n">
        <x:v>10</x:v>
      </x:c>
      <x:c r="H114" s="39" t="str">
        <x:v>VALID</x:v>
      </x:c>
    </x:row>
    <x:row r="115">
      <x:c r="A115" s="39" t="str">
        <x:v>2026-08-15</x:v>
      </x:c>
      <x:c r="B115" s="43" t="n">
        <x:v>10</x:v>
      </x:c>
      <x:c r="C115" s="39" t="str">
        <x:v>強的可怕</x:v>
      </x:c>
      <x:c r="D115" s="42" t="n">
        <x:v>137</x:v>
      </x:c>
      <x:c r="E115" s="41" t="b">
        <x:v>1</x:v>
      </x:c>
      <x:c r="F115" s="39" t="str">
        <x:v>260815</x:v>
      </x:c>
      <x:c r="G115" s="43" t="n">
        <x:v>11</x:v>
      </x:c>
      <x:c r="H115" s="39" t="str">
        <x:v>WARNING</x:v>
      </x:c>
    </x:row>
    <x:row r="116">
      <x:c r="A116" s="39" t="str">
        <x:v>2026-08-15</x:v>
      </x:c>
      <x:c r="B116" s="43" t="n">
        <x:v>10</x:v>
      </x:c>
      <x:c r="C116" s="39" t="str">
        <x:v>KK之王</x:v>
      </x:c>
      <x:c r="D116" s="42" t="n">
        <x:v>-22.5</x:v>
      </x:c>
      <x:c r="E116" s="41" t="b">
        <x:v>1</x:v>
      </x:c>
      <x:c r="F116" s="39" t="str">
        <x:v>260815</x:v>
      </x:c>
      <x:c r="G116" s="43" t="n">
        <x:v>11</x:v>
      </x:c>
      <x:c r="H116" s="39" t="str">
        <x:v>WARNING</x:v>
      </x:c>
    </x:row>
    <x:row r="117">
      <x:c r="A117" s="39" t="str">
        <x:v>2026-08-15</x:v>
      </x:c>
      <x:c r="B117" s="43" t="n">
        <x:v>10</x:v>
      </x:c>
      <x:c r="C117" s="39" t="str">
        <x:v>淡水金城武</x:v>
      </x:c>
      <x:c r="D117" s="42" t="n">
        <x:v>80</x:v>
      </x:c>
      <x:c r="E117" s="41" t="b">
        <x:v>1</x:v>
      </x:c>
      <x:c r="F117" s="39" t="str">
        <x:v>260815</x:v>
      </x:c>
      <x:c r="G117" s="43" t="n">
        <x:v>11</x:v>
      </x:c>
      <x:c r="H117" s="39" t="str">
        <x:v>WARNING</x:v>
      </x:c>
    </x:row>
    <x:row r="118">
      <x:c r="A118" s="39" t="str">
        <x:v>2026-08-15</x:v>
      </x:c>
      <x:c r="B118" s="43" t="n">
        <x:v>10</x:v>
      </x:c>
      <x:c r="C118" s="39" t="str">
        <x:v>中</x:v>
      </x:c>
      <x:c r="D118" s="42" t="n">
        <x:v>-65</x:v>
      </x:c>
      <x:c r="E118" s="41" t="b">
        <x:v>1</x:v>
      </x:c>
      <x:c r="F118" s="39" t="str">
        <x:v>260815</x:v>
      </x:c>
      <x:c r="G118" s="43" t="n">
        <x:v>11</x:v>
      </x:c>
      <x:c r="H118" s="39" t="str">
        <x:v>WARNING</x:v>
      </x:c>
    </x:row>
    <x:row r="119">
      <x:c r="A119" s="39" t="str">
        <x:v>2026-08-15</x:v>
      </x:c>
      <x:c r="B119" s="43" t="n">
        <x:v>10</x:v>
      </x:c>
      <x:c r="C119" s="39" t="str">
        <x:v>我是你爸</x:v>
      </x:c>
      <x:c r="D119" s="42" t="n">
        <x:v>-250</x:v>
      </x:c>
      <x:c r="E119" s="41" t="b">
        <x:v>1</x:v>
      </x:c>
      <x:c r="F119" s="39" t="str">
        <x:v>260815</x:v>
      </x:c>
      <x:c r="G119" s="43" t="n">
        <x:v>11</x:v>
      </x:c>
      <x:c r="H119" s="39" t="str">
        <x:v>WARNING</x:v>
      </x:c>
    </x:row>
    <x:row r="120">
      <x:c r="A120" s="39" t="str">
        <x:v>2026-08-15</x:v>
      </x:c>
      <x:c r="B120" s="43" t="n">
        <x:v>10</x:v>
      </x:c>
      <x:c r="C120" s="39" t="str">
        <x:v>大舅哥</x:v>
      </x:c>
      <x:c r="D120" s="42" t="n">
        <x:v>117.5</x:v>
      </x:c>
      <x:c r="E120" s="41" t="b">
        <x:v>1</x:v>
      </x:c>
      <x:c r="F120" s="39" t="str">
        <x:v>260815</x:v>
      </x:c>
      <x:c r="G120" s="43" t="n">
        <x:v>11</x:v>
      </x:c>
      <x:c r="H120" s="39" t="str">
        <x:v>WARNING</x:v>
      </x:c>
    </x:row>
    <x:row r="121">
      <x:c r="A121" s="39" t="str">
        <x:v>2026-08-15</x:v>
      </x:c>
      <x:c r="B121" s="43" t="n">
        <x:v>10</x:v>
      </x:c>
      <x:c r="C121" s="39" t="str">
        <x:v>帥潮</x:v>
      </x:c>
      <x:c r="D121" s="42" t="n">
        <x:v>2.5</x:v>
      </x:c>
      <x:c r="E121" s="41" t="b">
        <x:v>1</x:v>
      </x:c>
      <x:c r="F121" s="39" t="str">
        <x:v>260815</x:v>
      </x:c>
      <x:c r="G121" s="43" t="n">
        <x:v>11</x:v>
      </x:c>
      <x:c r="H121" s="39" t="str">
        <x:v>WARNING</x:v>
      </x:c>
    </x:row>
    <x:row r="122">
      <x:c r="A122" s="39" t="str">
        <x:v>2026-08-15</x:v>
      </x:c>
      <x:c r="B122" s="43" t="n">
        <x:v>11</x:v>
      </x:c>
      <x:c r="C122" s="39" t="str">
        <x:v>強的可怕</x:v>
      </x:c>
      <x:c r="D122" s="42" t="n">
        <x:v>270</x:v>
      </x:c>
      <x:c r="E122" s="41" t="b">
        <x:v>1</x:v>
      </x:c>
      <x:c r="F122" s="39" t="str">
        <x:v>260815</x:v>
      </x:c>
      <x:c r="G122" s="43" t="n">
        <x:v>12</x:v>
      </x:c>
      <x:c r="H122" s="39" t="str">
        <x:v>VALID</x:v>
      </x:c>
    </x:row>
    <x:row r="123">
      <x:c r="A123" s="39" t="str">
        <x:v>2026-08-15</x:v>
      </x:c>
      <x:c r="B123" s="43" t="n">
        <x:v>11</x:v>
      </x:c>
      <x:c r="C123" s="39" t="str">
        <x:v>KK之王</x:v>
      </x:c>
      <x:c r="D123" s="42" t="n">
        <x:v>-70</x:v>
      </x:c>
      <x:c r="E123" s="41" t="b">
        <x:v>1</x:v>
      </x:c>
      <x:c r="F123" s="39" t="str">
        <x:v>260815</x:v>
      </x:c>
      <x:c r="G123" s="43" t="n">
        <x:v>12</x:v>
      </x:c>
      <x:c r="H123" s="39" t="str">
        <x:v>VALID</x:v>
      </x:c>
    </x:row>
    <x:row r="124">
      <x:c r="A124" s="39" t="str">
        <x:v>2026-08-15</x:v>
      </x:c>
      <x:c r="B124" s="43" t="n">
        <x:v>11</x:v>
      </x:c>
      <x:c r="C124" s="39" t="str">
        <x:v>淡水金城武</x:v>
      </x:c>
      <x:c r="D124" s="42" t="n">
        <x:v>-60</x:v>
      </x:c>
      <x:c r="E124" s="41" t="b">
        <x:v>1</x:v>
      </x:c>
      <x:c r="F124" s="39" t="str">
        <x:v>260815</x:v>
      </x:c>
      <x:c r="G124" s="43" t="n">
        <x:v>12</x:v>
      </x:c>
      <x:c r="H124" s="39" t="str">
        <x:v>VALID</x:v>
      </x:c>
    </x:row>
    <x:row r="125">
      <x:c r="A125" s="39" t="str">
        <x:v>2026-08-15</x:v>
      </x:c>
      <x:c r="B125" s="43" t="n">
        <x:v>11</x:v>
      </x:c>
      <x:c r="C125" s="39" t="str">
        <x:v>中</x:v>
      </x:c>
      <x:c r="D125" s="42" t="n">
        <x:v>-70</x:v>
      </x:c>
      <x:c r="E125" s="41" t="b">
        <x:v>1</x:v>
      </x:c>
      <x:c r="F125" s="39" t="str">
        <x:v>260815</x:v>
      </x:c>
      <x:c r="G125" s="43" t="n">
        <x:v>12</x:v>
      </x:c>
      <x:c r="H125" s="39" t="str">
        <x:v>VALID</x:v>
      </x:c>
    </x:row>
    <x:row r="126">
      <x:c r="A126" s="39" t="str">
        <x:v>2026-08-15</x:v>
      </x:c>
      <x:c r="B126" s="43" t="n">
        <x:v>11</x:v>
      </x:c>
      <x:c r="C126" s="39" t="str">
        <x:v>我是你爸</x:v>
      </x:c>
      <x:c r="D126" s="42" t="n">
        <x:v>-70</x:v>
      </x:c>
      <x:c r="E126" s="41" t="b">
        <x:v>1</x:v>
      </x:c>
      <x:c r="F126" s="39" t="str">
        <x:v>260815</x:v>
      </x:c>
      <x:c r="G126" s="43" t="n">
        <x:v>12</x:v>
      </x:c>
      <x:c r="H126" s="39" t="str">
        <x:v>VALID</x:v>
      </x:c>
    </x:row>
    <x:row r="127">
      <x:c r="A127" s="39" t="str">
        <x:v>2026-08-15</x:v>
      </x:c>
      <x:c r="B127" s="43" t="n">
        <x:v>11</x:v>
      </x:c>
      <x:c r="C127" s="39" t="str">
        <x:v>大舅哥</x:v>
      </x:c>
      <x:c r="D127" s="42" t="n">
        <x:v>0</x:v>
      </x:c>
      <x:c r="E127" s="41" t="b">
        <x:v>1</x:v>
      </x:c>
      <x:c r="F127" s="39" t="str">
        <x:v>260815</x:v>
      </x:c>
      <x:c r="G127" s="43" t="n">
        <x:v>12</x:v>
      </x:c>
      <x:c r="H127" s="39" t="str">
        <x:v>VALID</x:v>
      </x:c>
    </x:row>
    <x:row r="128">
      <x:c r="A128" s="39" t="str">
        <x:v>2026-08-15</x:v>
      </x:c>
      <x:c r="B128" s="43" t="n">
        <x:v>11</x:v>
      </x:c>
      <x:c r="C128" s="39" t="str">
        <x:v>帥潮</x:v>
      </x:c>
      <x:c r="D128" s="42" t="n">
        <x:v>0</x:v>
      </x:c>
      <x:c r="E128" s="41" t="b">
        <x:v>1</x:v>
      </x:c>
      <x:c r="F128" s="39" t="str">
        <x:v>260815</x:v>
      </x:c>
      <x:c r="G128" s="43" t="n">
        <x:v>12</x:v>
      </x:c>
      <x:c r="H128" s="39" t="str">
        <x:v>VALID</x:v>
      </x:c>
    </x:row>
    <x:row r="129">
      <x:c r="A129" s="39" t="str">
        <x:v>2026-08-15</x:v>
      </x:c>
      <x:c r="B129" s="43" t="n">
        <x:v>12</x:v>
      </x:c>
      <x:c r="C129" s="39" t="str">
        <x:v>強的可怕</x:v>
      </x:c>
      <x:c r="D129" s="42" t="n">
        <x:v>50</x:v>
      </x:c>
      <x:c r="E129" s="41" t="b">
        <x:v>1</x:v>
      </x:c>
      <x:c r="F129" s="39" t="str">
        <x:v>260815</x:v>
      </x:c>
      <x:c r="G129" s="43" t="n">
        <x:v>13</x:v>
      </x:c>
      <x:c r="H129" s="39" t="str">
        <x:v>VALID</x:v>
      </x:c>
    </x:row>
    <x:row r="130">
      <x:c r="A130" s="39" t="str">
        <x:v>2026-08-15</x:v>
      </x:c>
      <x:c r="B130" s="43" t="n">
        <x:v>12</x:v>
      </x:c>
      <x:c r="C130" s="39" t="str">
        <x:v>KK之王</x:v>
      </x:c>
      <x:c r="D130" s="42" t="n">
        <x:v>160</x:v>
      </x:c>
      <x:c r="E130" s="41" t="b">
        <x:v>1</x:v>
      </x:c>
      <x:c r="F130" s="39" t="str">
        <x:v>260815</x:v>
      </x:c>
      <x:c r="G130" s="43" t="n">
        <x:v>13</x:v>
      </x:c>
      <x:c r="H130" s="39" t="str">
        <x:v>VALID</x:v>
      </x:c>
    </x:row>
    <x:row r="131">
      <x:c r="A131" s="39" t="str">
        <x:v>2026-08-15</x:v>
      </x:c>
      <x:c r="B131" s="43" t="n">
        <x:v>12</x:v>
      </x:c>
      <x:c r="C131" s="39" t="str">
        <x:v>淡水金城武</x:v>
      </x:c>
      <x:c r="D131" s="42" t="n">
        <x:v>-35</x:v>
      </x:c>
      <x:c r="E131" s="41" t="b">
        <x:v>1</x:v>
      </x:c>
      <x:c r="F131" s="39" t="str">
        <x:v>260815</x:v>
      </x:c>
      <x:c r="G131" s="43" t="n">
        <x:v>13</x:v>
      </x:c>
      <x:c r="H131" s="39" t="str">
        <x:v>VALID</x:v>
      </x:c>
    </x:row>
    <x:row r="132">
      <x:c r="A132" s="39" t="str">
        <x:v>2026-08-15</x:v>
      </x:c>
      <x:c r="B132" s="43" t="n">
        <x:v>12</x:v>
      </x:c>
      <x:c r="C132" s="39" t="str">
        <x:v>中</x:v>
      </x:c>
      <x:c r="D132" s="42" t="n">
        <x:v>72.5</x:v>
      </x:c>
      <x:c r="E132" s="41" t="b">
        <x:v>1</x:v>
      </x:c>
      <x:c r="F132" s="39" t="str">
        <x:v>260815</x:v>
      </x:c>
      <x:c r="G132" s="43" t="n">
        <x:v>13</x:v>
      </x:c>
      <x:c r="H132" s="39" t="str">
        <x:v>VALID</x:v>
      </x:c>
    </x:row>
    <x:row r="133">
      <x:c r="A133" s="39" t="str">
        <x:v>2026-08-15</x:v>
      </x:c>
      <x:c r="B133" s="43" t="n">
        <x:v>12</x:v>
      </x:c>
      <x:c r="C133" s="39" t="str">
        <x:v>我是你爸</x:v>
      </x:c>
      <x:c r="D133" s="42" t="n">
        <x:v>-122.5</x:v>
      </x:c>
      <x:c r="E133" s="41" t="b">
        <x:v>1</x:v>
      </x:c>
      <x:c r="F133" s="39" t="str">
        <x:v>260815</x:v>
      </x:c>
      <x:c r="G133" s="43" t="n">
        <x:v>13</x:v>
      </x:c>
      <x:c r="H133" s="39" t="str">
        <x:v>VALID</x:v>
      </x:c>
    </x:row>
    <x:row r="134">
      <x:c r="A134" s="39" t="str">
        <x:v>2026-08-15</x:v>
      </x:c>
      <x:c r="B134" s="43" t="n">
        <x:v>12</x:v>
      </x:c>
      <x:c r="C134" s="39" t="str">
        <x:v>大舅哥</x:v>
      </x:c>
      <x:c r="D134" s="42" t="n">
        <x:v>125</x:v>
      </x:c>
      <x:c r="E134" s="41" t="b">
        <x:v>1</x:v>
      </x:c>
      <x:c r="F134" s="39" t="str">
        <x:v>260815</x:v>
      </x:c>
      <x:c r="G134" s="43" t="n">
        <x:v>13</x:v>
      </x:c>
      <x:c r="H134" s="39" t="str">
        <x:v>VALID</x:v>
      </x:c>
    </x:row>
    <x:row r="135">
      <x:c r="A135" s="39" t="str">
        <x:v>2026-08-15</x:v>
      </x:c>
      <x:c r="B135" s="43" t="n">
        <x:v>12</x:v>
      </x:c>
      <x:c r="C135" s="39" t="str">
        <x:v>帥潮</x:v>
      </x:c>
      <x:c r="D135" s="42" t="n">
        <x:v>-250</x:v>
      </x:c>
      <x:c r="E135" s="41" t="b">
        <x:v>1</x:v>
      </x:c>
      <x:c r="F135" s="39" t="str">
        <x:v>260815</x:v>
      </x:c>
      <x:c r="G135" s="43" t="n">
        <x:v>13</x:v>
      </x:c>
      <x:c r="H135" s="39" t="str">
        <x:v>VALID</x:v>
      </x:c>
    </x:row>
    <x:row r="136">
      <x:c r="A136" s="39" t="str">
        <x:v>2026-08-15</x:v>
      </x:c>
      <x:c r="B136" s="43" t="n">
        <x:v>13</x:v>
      </x:c>
      <x:c r="C136" s="39" t="str">
        <x:v>強的可怕</x:v>
      </x:c>
      <x:c r="D136" s="42" t="n">
        <x:v>27.5</x:v>
      </x:c>
      <x:c r="E136" s="41" t="b">
        <x:v>1</x:v>
      </x:c>
      <x:c r="F136" s="39" t="str">
        <x:v>260815</x:v>
      </x:c>
      <x:c r="G136" s="43" t="n">
        <x:v>14</x:v>
      </x:c>
      <x:c r="H136" s="39" t="str">
        <x:v>VALID</x:v>
      </x:c>
    </x:row>
    <x:row r="137">
      <x:c r="A137" s="39" t="str">
        <x:v>2026-08-15</x:v>
      </x:c>
      <x:c r="B137" s="43" t="n">
        <x:v>13</x:v>
      </x:c>
      <x:c r="C137" s="39" t="str">
        <x:v>KK之王</x:v>
      </x:c>
      <x:c r="D137" s="42" t="n">
        <x:v>75</x:v>
      </x:c>
      <x:c r="E137" s="41" t="b">
        <x:v>1</x:v>
      </x:c>
      <x:c r="F137" s="39" t="str">
        <x:v>260815</x:v>
      </x:c>
      <x:c r="G137" s="43" t="n">
        <x:v>14</x:v>
      </x:c>
      <x:c r="H137" s="39" t="str">
        <x:v>VALID</x:v>
      </x:c>
    </x:row>
    <x:row r="138">
      <x:c r="A138" s="39" t="str">
        <x:v>2026-08-15</x:v>
      </x:c>
      <x:c r="B138" s="43" t="n">
        <x:v>13</x:v>
      </x:c>
      <x:c r="C138" s="39" t="str">
        <x:v>淡水金城武</x:v>
      </x:c>
      <x:c r="D138" s="42" t="n">
        <x:v>125</x:v>
      </x:c>
      <x:c r="E138" s="41" t="b">
        <x:v>1</x:v>
      </x:c>
      <x:c r="F138" s="39" t="str">
        <x:v>260815</x:v>
      </x:c>
      <x:c r="G138" s="43" t="n">
        <x:v>14</x:v>
      </x:c>
      <x:c r="H138" s="39" t="str">
        <x:v>VALID</x:v>
      </x:c>
    </x:row>
    <x:row r="139">
      <x:c r="A139" s="39" t="str">
        <x:v>2026-08-15</x:v>
      </x:c>
      <x:c r="B139" s="43" t="n">
        <x:v>13</x:v>
      </x:c>
      <x:c r="C139" s="39" t="str">
        <x:v>中</x:v>
      </x:c>
      <x:c r="D139" s="42" t="n">
        <x:v>-20</x:v>
      </x:c>
      <x:c r="E139" s="41" t="b">
        <x:v>1</x:v>
      </x:c>
      <x:c r="F139" s="39" t="str">
        <x:v>260815</x:v>
      </x:c>
      <x:c r="G139" s="43" t="n">
        <x:v>14</x:v>
      </x:c>
      <x:c r="H139" s="39" t="str">
        <x:v>VALID</x:v>
      </x:c>
    </x:row>
    <x:row r="140">
      <x:c r="A140" s="39" t="str">
        <x:v>2026-08-15</x:v>
      </x:c>
      <x:c r="B140" s="43" t="n">
        <x:v>13</x:v>
      </x:c>
      <x:c r="C140" s="39" t="str">
        <x:v>我是你爸</x:v>
      </x:c>
      <x:c r="D140" s="42" t="n">
        <x:v>-250</x:v>
      </x:c>
      <x:c r="E140" s="41" t="b">
        <x:v>1</x:v>
      </x:c>
      <x:c r="F140" s="39" t="str">
        <x:v>260815</x:v>
      </x:c>
      <x:c r="G140" s="43" t="n">
        <x:v>14</x:v>
      </x:c>
      <x:c r="H140" s="39" t="str">
        <x:v>VALID</x:v>
      </x:c>
    </x:row>
    <x:row r="141">
      <x:c r="A141" s="39" t="str">
        <x:v>2026-08-15</x:v>
      </x:c>
      <x:c r="B141" s="43" t="n">
        <x:v>13</x:v>
      </x:c>
      <x:c r="C141" s="39" t="str">
        <x:v>大舅哥</x:v>
      </x:c>
      <x:c r="D141" s="42" t="n">
        <x:v>25</x:v>
      </x:c>
      <x:c r="E141" s="41" t="b">
        <x:v>1</x:v>
      </x:c>
      <x:c r="F141" s="39" t="str">
        <x:v>260815</x:v>
      </x:c>
      <x:c r="G141" s="43" t="n">
        <x:v>14</x:v>
      </x:c>
      <x:c r="H141" s="39" t="str">
        <x:v>VALID</x:v>
      </x:c>
    </x:row>
    <x:row r="142">
      <x:c r="A142" s="39" t="str">
        <x:v>2026-08-15</x:v>
      </x:c>
      <x:c r="B142" s="43" t="n">
        <x:v>13</x:v>
      </x:c>
      <x:c r="C142" s="39" t="str">
        <x:v>帥潮</x:v>
      </x:c>
      <x:c r="D142" s="42" t="n">
        <x:v>17.5</x:v>
      </x:c>
      <x:c r="E142" s="41" t="b">
        <x:v>1</x:v>
      </x:c>
      <x:c r="F142" s="39" t="str">
        <x:v>260815</x:v>
      </x:c>
      <x:c r="G142" s="43" t="n">
        <x:v>14</x:v>
      </x:c>
      <x:c r="H142" s="39" t="str">
        <x:v>VALID</x:v>
      </x:c>
    </x:row>
    <x:row r="143">
      <x:c r="A143" s="39" t="str">
        <x:v>2026-08-15</x:v>
      </x:c>
      <x:c r="B143" s="43" t="n">
        <x:v>14</x:v>
      </x:c>
      <x:c r="C143" s="39" t="str">
        <x:v>強的可怕</x:v>
      </x:c>
      <x:c r="D143" s="42" t="n">
        <x:v>0</x:v>
      </x:c>
      <x:c r="E143" s="41" t="b">
        <x:v>1</x:v>
      </x:c>
      <x:c r="F143" s="39" t="str">
        <x:v>260815</x:v>
      </x:c>
      <x:c r="G143" s="43" t="n">
        <x:v>15</x:v>
      </x:c>
      <x:c r="H143" s="39" t="str">
        <x:v>VALID</x:v>
      </x:c>
    </x:row>
    <x:row r="144">
      <x:c r="A144" s="39" t="str">
        <x:v>2026-08-15</x:v>
      </x:c>
      <x:c r="B144" s="43" t="n">
        <x:v>14</x:v>
      </x:c>
      <x:c r="C144" s="39" t="str">
        <x:v>KK之王</x:v>
      </x:c>
      <x:c r="D144" s="42" t="n">
        <x:v>177.5</x:v>
      </x:c>
      <x:c r="E144" s="41" t="b">
        <x:v>1</x:v>
      </x:c>
      <x:c r="F144" s="39" t="str">
        <x:v>260815</x:v>
      </x:c>
      <x:c r="G144" s="43" t="n">
        <x:v>15</x:v>
      </x:c>
      <x:c r="H144" s="39" t="str">
        <x:v>VALID</x:v>
      </x:c>
    </x:row>
    <x:row r="145">
      <x:c r="A145" s="39" t="str">
        <x:v>2026-08-15</x:v>
      </x:c>
      <x:c r="B145" s="43" t="n">
        <x:v>14</x:v>
      </x:c>
      <x:c r="C145" s="39" t="str">
        <x:v>淡水金城武</x:v>
      </x:c>
      <x:c r="D145" s="42" t="n">
        <x:v>50</x:v>
      </x:c>
      <x:c r="E145" s="41" t="b">
        <x:v>1</x:v>
      </x:c>
      <x:c r="F145" s="39" t="str">
        <x:v>260815</x:v>
      </x:c>
      <x:c r="G145" s="43" t="n">
        <x:v>15</x:v>
      </x:c>
      <x:c r="H145" s="39" t="str">
        <x:v>VALID</x:v>
      </x:c>
    </x:row>
    <x:row r="146">
      <x:c r="A146" s="39" t="str">
        <x:v>2026-08-15</x:v>
      </x:c>
      <x:c r="B146" s="43" t="n">
        <x:v>14</x:v>
      </x:c>
      <x:c r="C146" s="39" t="str">
        <x:v>中</x:v>
      </x:c>
      <x:c r="D146" s="42" t="n">
        <x:v>-250</x:v>
      </x:c>
      <x:c r="E146" s="41" t="b">
        <x:v>1</x:v>
      </x:c>
      <x:c r="F146" s="39" t="str">
        <x:v>260815</x:v>
      </x:c>
      <x:c r="G146" s="43" t="n">
        <x:v>15</x:v>
      </x:c>
      <x:c r="H146" s="39" t="str">
        <x:v>VALID</x:v>
      </x:c>
    </x:row>
    <x:row r="147">
      <x:c r="A147" s="39" t="str">
        <x:v>2026-08-15</x:v>
      </x:c>
      <x:c r="B147" s="43" t="n">
        <x:v>14</x:v>
      </x:c>
      <x:c r="C147" s="39" t="str">
        <x:v>我是你爸</x:v>
      </x:c>
      <x:c r="D147" s="42" t="n">
        <x:v>62.5</x:v>
      </x:c>
      <x:c r="E147" s="41" t="b">
        <x:v>1</x:v>
      </x:c>
      <x:c r="F147" s="39" t="str">
        <x:v>260815</x:v>
      </x:c>
      <x:c r="G147" s="43" t="n">
        <x:v>15</x:v>
      </x:c>
      <x:c r="H147" s="39" t="str">
        <x:v>VALID</x:v>
      </x:c>
    </x:row>
    <x:row r="148">
      <x:c r="A148" s="39" t="str">
        <x:v>2026-08-15</x:v>
      </x:c>
      <x:c r="B148" s="43" t="n">
        <x:v>14</x:v>
      </x:c>
      <x:c r="C148" s="39" t="str">
        <x:v>大舅哥</x:v>
      </x:c>
      <x:c r="D148" s="42" t="n">
        <x:v>12.5</x:v>
      </x:c>
      <x:c r="E148" s="41" t="b">
        <x:v>1</x:v>
      </x:c>
      <x:c r="F148" s="39" t="str">
        <x:v>260815</x:v>
      </x:c>
      <x:c r="G148" s="43" t="n">
        <x:v>15</x:v>
      </x:c>
      <x:c r="H148" s="39" t="str">
        <x:v>VALID</x:v>
      </x:c>
    </x:row>
    <x:row r="149">
      <x:c r="A149" s="39" t="str">
        <x:v>2026-08-15</x:v>
      </x:c>
      <x:c r="B149" s="43" t="n">
        <x:v>14</x:v>
      </x:c>
      <x:c r="C149" s="39" t="str">
        <x:v>帥潮</x:v>
      </x:c>
      <x:c r="D149" s="42" t="n">
        <x:v>-52.5</x:v>
      </x:c>
      <x:c r="E149" s="41" t="b">
        <x:v>1</x:v>
      </x:c>
      <x:c r="F149" s="39" t="str">
        <x:v>260815</x:v>
      </x:c>
      <x:c r="G149" s="43" t="n">
        <x:v>15</x:v>
      </x:c>
      <x:c r="H149" s="39" t="str">
        <x:v>VALID</x:v>
      </x:c>
    </x:row>
    <x:row r="150">
      <x:c r="A150" s="39" t="str">
        <x:v>2026-08-29</x:v>
      </x:c>
      <x:c r="B150" s="43" t="n">
        <x:v>1</x:v>
      </x:c>
      <x:c r="C150" s="39" t="str">
        <x:v>強的可怕</x:v>
      </x:c>
      <x:c r="D150" s="42" t="n">
        <x:v>212.5</x:v>
      </x:c>
      <x:c r="E150" s="41" t="b">
        <x:v>1</x:v>
      </x:c>
      <x:c r="F150" s="39" t="str">
        <x:v>260829</x:v>
      </x:c>
      <x:c r="G150" s="43" t="n">
        <x:v>2</x:v>
      </x:c>
      <x:c r="H150" s="39" t="str">
        <x:v>VALID</x:v>
      </x:c>
    </x:row>
    <x:row r="151">
      <x:c r="A151" s="39" t="str">
        <x:v>2026-08-29</x:v>
      </x:c>
      <x:c r="B151" s="43" t="n">
        <x:v>1</x:v>
      </x:c>
      <x:c r="C151" s="39" t="str">
        <x:v>KK之王</x:v>
      </x:c>
      <x:c r="D151" s="42" t="n">
        <x:v>25</x:v>
      </x:c>
      <x:c r="E151" s="41" t="b">
        <x:v>1</x:v>
      </x:c>
      <x:c r="F151" s="39" t="str">
        <x:v>260829</x:v>
      </x:c>
      <x:c r="G151" s="43" t="n">
        <x:v>2</x:v>
      </x:c>
      <x:c r="H151" s="39" t="str">
        <x:v>VALID</x:v>
      </x:c>
    </x:row>
    <x:row r="152">
      <x:c r="A152" s="39" t="str">
        <x:v>2026-08-29</x:v>
      </x:c>
      <x:c r="B152" s="43" t="n">
        <x:v>1</x:v>
      </x:c>
      <x:c r="C152" s="39" t="str">
        <x:v>淡水金城武</x:v>
      </x:c>
      <x:c r="D152" s="42" t="n">
        <x:v>12.5</x:v>
      </x:c>
      <x:c r="E152" s="41" t="b">
        <x:v>1</x:v>
      </x:c>
      <x:c r="F152" s="39" t="str">
        <x:v>260829</x:v>
      </x:c>
      <x:c r="G152" s="43" t="n">
        <x:v>2</x:v>
      </x:c>
      <x:c r="H152" s="39" t="str">
        <x:v>VALID</x:v>
      </x:c>
    </x:row>
    <x:row r="153">
      <x:c r="A153" s="39" t="str">
        <x:v>2026-08-29</x:v>
      </x:c>
      <x:c r="B153" s="43" t="n">
        <x:v>1</x:v>
      </x:c>
      <x:c r="C153" s="39" t="str">
        <x:v>河牌幹死你</x:v>
      </x:c>
      <x:c r="D153" s="42" t="n">
        <x:v>-250</x:v>
      </x:c>
      <x:c r="E153" s="41" t="b">
        <x:v>1</x:v>
      </x:c>
      <x:c r="F153" s="39" t="str">
        <x:v>260829</x:v>
      </x:c>
      <x:c r="G153" s="43" t="n">
        <x:v>2</x:v>
      </x:c>
      <x:c r="H153" s="39" t="str">
        <x:v>VALID</x:v>
      </x:c>
    </x:row>
    <x:row r="154">
      <x:c r="A154" s="39" t="str">
        <x:v>2026-08-29</x:v>
      </x:c>
      <x:c r="B154" s="43" t="n">
        <x:v>2</x:v>
      </x:c>
      <x:c r="C154" s="39" t="str">
        <x:v>強的可怕</x:v>
      </x:c>
      <x:c r="D154" s="42" t="n">
        <x:v>-5</x:v>
      </x:c>
      <x:c r="E154" s="41" t="b">
        <x:v>1</x:v>
      </x:c>
      <x:c r="F154" s="39" t="str">
        <x:v>260829</x:v>
      </x:c>
      <x:c r="G154" s="43" t="n">
        <x:v>3</x:v>
      </x:c>
      <x:c r="H154" s="39" t="str">
        <x:v>VALID</x:v>
      </x:c>
    </x:row>
    <x:row r="155">
      <x:c r="A155" s="39" t="str">
        <x:v>2026-08-29</x:v>
      </x:c>
      <x:c r="B155" s="43" t="n">
        <x:v>2</x:v>
      </x:c>
      <x:c r="C155" s="39" t="str">
        <x:v>KK之王</x:v>
      </x:c>
      <x:c r="D155" s="42" t="n">
        <x:v>-250</x:v>
      </x:c>
      <x:c r="E155" s="41" t="b">
        <x:v>1</x:v>
      </x:c>
      <x:c r="F155" s="39" t="str">
        <x:v>260829</x:v>
      </x:c>
      <x:c r="G155" s="43" t="n">
        <x:v>3</x:v>
      </x:c>
      <x:c r="H155" s="39" t="str">
        <x:v>VALID</x:v>
      </x:c>
    </x:row>
    <x:row r="156">
      <x:c r="A156" s="39" t="str">
        <x:v>2026-08-29</x:v>
      </x:c>
      <x:c r="B156" s="43" t="n">
        <x:v>2</x:v>
      </x:c>
      <x:c r="C156" s="39" t="str">
        <x:v>淡水金城武</x:v>
      </x:c>
      <x:c r="D156" s="42" t="n">
        <x:v>92.5</x:v>
      </x:c>
      <x:c r="E156" s="41" t="b">
        <x:v>1</x:v>
      </x:c>
      <x:c r="F156" s="39" t="str">
        <x:v>260829</x:v>
      </x:c>
      <x:c r="G156" s="43" t="n">
        <x:v>3</x:v>
      </x:c>
      <x:c r="H156" s="39" t="str">
        <x:v>VALID</x:v>
      </x:c>
    </x:row>
    <x:row r="157">
      <x:c r="A157" s="39" t="str">
        <x:v>2026-08-29</x:v>
      </x:c>
      <x:c r="B157" s="43" t="n">
        <x:v>2</x:v>
      </x:c>
      <x:c r="C157" s="39" t="str">
        <x:v>河牌幹死你</x:v>
      </x:c>
      <x:c r="D157" s="42" t="n">
        <x:v>97.5</x:v>
      </x:c>
      <x:c r="E157" s="41" t="b">
        <x:v>1</x:v>
      </x:c>
      <x:c r="F157" s="39" t="str">
        <x:v>260829</x:v>
      </x:c>
      <x:c r="G157" s="43" t="n">
        <x:v>3</x:v>
      </x:c>
      <x:c r="H157" s="39" t="str">
        <x:v>VALID</x:v>
      </x:c>
    </x:row>
    <x:row r="158">
      <x:c r="A158" s="39" t="str">
        <x:v>2026-08-29</x:v>
      </x:c>
      <x:c r="B158" s="43" t="n">
        <x:v>2</x:v>
      </x:c>
      <x:c r="C158" s="39" t="str">
        <x:v>大舅哥</x:v>
      </x:c>
      <x:c r="D158" s="42" t="n">
        <x:v>-77.5</x:v>
      </x:c>
      <x:c r="E158" s="41" t="b">
        <x:v>1</x:v>
      </x:c>
      <x:c r="F158" s="39" t="str">
        <x:v>260829</x:v>
      </x:c>
      <x:c r="G158" s="43" t="n">
        <x:v>3</x:v>
      </x:c>
      <x:c r="H158" s="39" t="str">
        <x:v>VALID</x:v>
      </x:c>
    </x:row>
    <x:row r="159">
      <x:c r="A159" s="39" t="str">
        <x:v>2026-08-29</x:v>
      </x:c>
      <x:c r="B159" s="43" t="n">
        <x:v>2</x:v>
      </x:c>
      <x:c r="C159" s="39" t="str">
        <x:v>z隕石毀滅者</x:v>
      </x:c>
      <x:c r="D159" s="42" t="n">
        <x:v>142.5</x:v>
      </x:c>
      <x:c r="E159" s="41" t="b">
        <x:v>1</x:v>
      </x:c>
      <x:c r="F159" s="39" t="str">
        <x:v>260829</x:v>
      </x:c>
      <x:c r="G159" s="43" t="n">
        <x:v>3</x:v>
      </x:c>
      <x:c r="H159" s="39" t="str">
        <x:v>VALID</x:v>
      </x:c>
    </x:row>
    <x:row r="160">
      <x:c r="A160" s="39" t="str">
        <x:v>2026-08-29</x:v>
      </x:c>
      <x:c r="B160" s="43" t="n">
        <x:v>3</x:v>
      </x:c>
      <x:c r="C160" s="39" t="str">
        <x:v>強的可怕</x:v>
      </x:c>
      <x:c r="D160" s="42" t="n">
        <x:v>52.5</x:v>
      </x:c>
      <x:c r="E160" s="41" t="b">
        <x:v>1</x:v>
      </x:c>
      <x:c r="F160" s="39" t="str">
        <x:v>260829</x:v>
      </x:c>
      <x:c r="G160" s="43" t="n">
        <x:v>4</x:v>
      </x:c>
      <x:c r="H160" s="39" t="str">
        <x:v>VALID</x:v>
      </x:c>
    </x:row>
    <x:row r="161">
      <x:c r="A161" s="39" t="str">
        <x:v>2026-08-29</x:v>
      </x:c>
      <x:c r="B161" s="43" t="n">
        <x:v>3</x:v>
      </x:c>
      <x:c r="C161" s="39" t="str">
        <x:v>KK之王</x:v>
      </x:c>
      <x:c r="D161" s="42" t="n">
        <x:v>-97.5</x:v>
      </x:c>
      <x:c r="E161" s="41" t="b">
        <x:v>1</x:v>
      </x:c>
      <x:c r="F161" s="39" t="str">
        <x:v>260829</x:v>
      </x:c>
      <x:c r="G161" s="43" t="n">
        <x:v>4</x:v>
      </x:c>
      <x:c r="H161" s="39" t="str">
        <x:v>VALID</x:v>
      </x:c>
    </x:row>
    <x:row r="162">
      <x:c r="A162" s="39" t="str">
        <x:v>2026-08-29</x:v>
      </x:c>
      <x:c r="B162" s="43" t="n">
        <x:v>3</x:v>
      </x:c>
      <x:c r="C162" s="39" t="str">
        <x:v>淡水金城武</x:v>
      </x:c>
      <x:c r="D162" s="42" t="n">
        <x:v>95</x:v>
      </x:c>
      <x:c r="E162" s="41" t="b">
        <x:v>1</x:v>
      </x:c>
      <x:c r="F162" s="39" t="str">
        <x:v>260829</x:v>
      </x:c>
      <x:c r="G162" s="43" t="n">
        <x:v>4</x:v>
      </x:c>
      <x:c r="H162" s="39" t="str">
        <x:v>VALID</x:v>
      </x:c>
    </x:row>
    <x:row r="163">
      <x:c r="A163" s="39" t="str">
        <x:v>2026-08-29</x:v>
      </x:c>
      <x:c r="B163" s="43" t="n">
        <x:v>3</x:v>
      </x:c>
      <x:c r="C163" s="39" t="str">
        <x:v>河牌幹死你</x:v>
      </x:c>
      <x:c r="D163" s="42" t="n">
        <x:v>152.5</x:v>
      </x:c>
      <x:c r="E163" s="41" t="b">
        <x:v>1</x:v>
      </x:c>
      <x:c r="F163" s="39" t="str">
        <x:v>260829</x:v>
      </x:c>
      <x:c r="G163" s="43" t="n">
        <x:v>4</x:v>
      </x:c>
      <x:c r="H163" s="39" t="str">
        <x:v>VALID</x:v>
      </x:c>
    </x:row>
    <x:row r="164">
      <x:c r="A164" s="39" t="str">
        <x:v>2026-08-29</x:v>
      </x:c>
      <x:c r="B164" s="43" t="n">
        <x:v>3</x:v>
      </x:c>
      <x:c r="C164" s="39" t="str">
        <x:v>大舅哥</x:v>
      </x:c>
      <x:c r="D164" s="42" t="n">
        <x:v>47.5</x:v>
      </x:c>
      <x:c r="E164" s="41" t="b">
        <x:v>1</x:v>
      </x:c>
      <x:c r="F164" s="39" t="str">
        <x:v>260829</x:v>
      </x:c>
      <x:c r="G164" s="43" t="n">
        <x:v>4</x:v>
      </x:c>
      <x:c r="H164" s="39" t="str">
        <x:v>VALID</x:v>
      </x:c>
    </x:row>
    <x:row r="165">
      <x:c r="A165" s="39" t="str">
        <x:v>2026-08-29</x:v>
      </x:c>
      <x:c r="B165" s="43" t="n">
        <x:v>3</x:v>
      </x:c>
      <x:c r="C165" s="39" t="str">
        <x:v>z隕石毀滅者</x:v>
      </x:c>
      <x:c r="D165" s="42" t="n">
        <x:v>-250</x:v>
      </x:c>
      <x:c r="E165" s="41" t="b">
        <x:v>1</x:v>
      </x:c>
      <x:c r="F165" s="39" t="str">
        <x:v>260829</x:v>
      </x:c>
      <x:c r="G165" s="43" t="n">
        <x:v>4</x:v>
      </x:c>
      <x:c r="H165" s="39" t="str">
        <x:v>VALID</x:v>
      </x:c>
    </x:row>
    <x:row r="166">
      <x:c r="A166" s="39" t="str">
        <x:v>2026-08-29</x:v>
      </x:c>
      <x:c r="B166" s="43" t="n">
        <x:v>4</x:v>
      </x:c>
      <x:c r="C166" s="39" t="str">
        <x:v>強的可怕</x:v>
      </x:c>
      <x:c r="D166" s="42" t="n">
        <x:v>-162.5</x:v>
      </x:c>
      <x:c r="E166" s="41" t="b">
        <x:v>1</x:v>
      </x:c>
      <x:c r="F166" s="39" t="str">
        <x:v>260829</x:v>
      </x:c>
      <x:c r="G166" s="43" t="n">
        <x:v>5</x:v>
      </x:c>
      <x:c r="H166" s="39" t="str">
        <x:v>VALID</x:v>
      </x:c>
    </x:row>
    <x:row r="167">
      <x:c r="A167" s="39" t="str">
        <x:v>2026-08-29</x:v>
      </x:c>
      <x:c r="B167" s="43" t="n">
        <x:v>4</x:v>
      </x:c>
      <x:c r="C167" s="39" t="str">
        <x:v>KK之王</x:v>
      </x:c>
      <x:c r="D167" s="42" t="n">
        <x:v>-250</x:v>
      </x:c>
      <x:c r="E167" s="41" t="b">
        <x:v>1</x:v>
      </x:c>
      <x:c r="F167" s="39" t="str">
        <x:v>260829</x:v>
      </x:c>
      <x:c r="G167" s="43" t="n">
        <x:v>5</x:v>
      </x:c>
      <x:c r="H167" s="39" t="str">
        <x:v>VALID</x:v>
      </x:c>
    </x:row>
    <x:row r="168">
      <x:c r="A168" s="39" t="str">
        <x:v>2026-08-29</x:v>
      </x:c>
      <x:c r="B168" s="43" t="n">
        <x:v>4</x:v>
      </x:c>
      <x:c r="C168" s="39" t="str">
        <x:v>淡水金城武</x:v>
      </x:c>
      <x:c r="D168" s="42" t="n">
        <x:v>457.5</x:v>
      </x:c>
      <x:c r="E168" s="41" t="b">
        <x:v>1</x:v>
      </x:c>
      <x:c r="F168" s="39" t="str">
        <x:v>260829</x:v>
      </x:c>
      <x:c r="G168" s="43" t="n">
        <x:v>5</x:v>
      </x:c>
      <x:c r="H168" s="39" t="str">
        <x:v>VALID</x:v>
      </x:c>
    </x:row>
    <x:row r="169">
      <x:c r="A169" s="39" t="str">
        <x:v>2026-08-29</x:v>
      </x:c>
      <x:c r="B169" s="43" t="n">
        <x:v>4</x:v>
      </x:c>
      <x:c r="C169" s="39" t="str">
        <x:v>河牌幹死你</x:v>
      </x:c>
      <x:c r="D169" s="42" t="n">
        <x:v>0</x:v>
      </x:c>
      <x:c r="E169" s="41" t="b">
        <x:v>1</x:v>
      </x:c>
      <x:c r="F169" s="39" t="str">
        <x:v>260829</x:v>
      </x:c>
      <x:c r="G169" s="43" t="n">
        <x:v>5</x:v>
      </x:c>
      <x:c r="H169" s="39" t="str">
        <x:v>VALID</x:v>
      </x:c>
    </x:row>
    <x:row r="170">
      <x:c r="A170" s="39" t="str">
        <x:v>2026-08-29</x:v>
      </x:c>
      <x:c r="B170" s="43" t="n">
        <x:v>4</x:v>
      </x:c>
      <x:c r="C170" s="39" t="str">
        <x:v>大舅哥</x:v>
      </x:c>
      <x:c r="D170" s="42" t="n">
        <x:v>-67.5</x:v>
      </x:c>
      <x:c r="E170" s="41" t="b">
        <x:v>1</x:v>
      </x:c>
      <x:c r="F170" s="39" t="str">
        <x:v>260829</x:v>
      </x:c>
      <x:c r="G170" s="43" t="n">
        <x:v>5</x:v>
      </x:c>
      <x:c r="H170" s="39" t="str">
        <x:v>VALID</x:v>
      </x:c>
    </x:row>
    <x:row r="171">
      <x:c r="A171" s="39" t="str">
        <x:v>2026-08-29</x:v>
      </x:c>
      <x:c r="B171" s="43" t="n">
        <x:v>4</x:v>
      </x:c>
      <x:c r="C171" s="39" t="str">
        <x:v>z隕石毀滅者</x:v>
      </x:c>
      <x:c r="D171" s="42" t="n">
        <x:v>22.5</x:v>
      </x:c>
      <x:c r="E171" s="41" t="b">
        <x:v>1</x:v>
      </x:c>
      <x:c r="F171" s="39" t="str">
        <x:v>260829</x:v>
      </x:c>
      <x:c r="G171" s="43" t="n">
        <x:v>5</x:v>
      </x:c>
      <x:c r="H171" s="39" t="str">
        <x:v>VALID</x:v>
      </x:c>
    </x:row>
    <x:row r="172">
      <x:c r="A172" s="39" t="str">
        <x:v>2026-08-29</x:v>
      </x:c>
      <x:c r="B172" s="43" t="n">
        <x:v>5</x:v>
      </x:c>
      <x:c r="C172" s="39" t="str">
        <x:v>強的可怕</x:v>
      </x:c>
      <x:c r="D172" s="42" t="n">
        <x:v>10</x:v>
      </x:c>
      <x:c r="E172" s="41" t="b">
        <x:v>1</x:v>
      </x:c>
      <x:c r="F172" s="39" t="str">
        <x:v>260829</x:v>
      </x:c>
      <x:c r="G172" s="43" t="n">
        <x:v>6</x:v>
      </x:c>
      <x:c r="H172" s="39" t="str">
        <x:v>VALID</x:v>
      </x:c>
    </x:row>
    <x:row r="173">
      <x:c r="A173" s="39" t="str">
        <x:v>2026-08-29</x:v>
      </x:c>
      <x:c r="B173" s="43" t="n">
        <x:v>5</x:v>
      </x:c>
      <x:c r="C173" s="39" t="str">
        <x:v>KK之王</x:v>
      </x:c>
      <x:c r="D173" s="42" t="n">
        <x:v>42.5</x:v>
      </x:c>
      <x:c r="E173" s="41" t="b">
        <x:v>1</x:v>
      </x:c>
      <x:c r="F173" s="39" t="str">
        <x:v>260829</x:v>
      </x:c>
      <x:c r="G173" s="43" t="n">
        <x:v>6</x:v>
      </x:c>
      <x:c r="H173" s="39" t="str">
        <x:v>VALID</x:v>
      </x:c>
    </x:row>
    <x:row r="174">
      <x:c r="A174" s="39" t="str">
        <x:v>2026-08-29</x:v>
      </x:c>
      <x:c r="B174" s="43" t="n">
        <x:v>5</x:v>
      </x:c>
      <x:c r="C174" s="39" t="str">
        <x:v>大舅哥</x:v>
      </x:c>
      <x:c r="D174" s="42" t="n">
        <x:v>-40</x:v>
      </x:c>
      <x:c r="E174" s="41" t="b">
        <x:v>1</x:v>
      </x:c>
      <x:c r="F174" s="39" t="str">
        <x:v>260829</x:v>
      </x:c>
      <x:c r="G174" s="43" t="n">
        <x:v>6</x:v>
      </x:c>
      <x:c r="H174" s="39" t="str">
        <x:v>VALID</x:v>
      </x:c>
    </x:row>
    <x:row r="175">
      <x:c r="A175" s="39" t="str">
        <x:v>2026-08-29</x:v>
      </x:c>
      <x:c r="B175" s="43" t="n">
        <x:v>5</x:v>
      </x:c>
      <x:c r="C175" s="39" t="str">
        <x:v>z隕石毀滅者</x:v>
      </x:c>
      <x:c r="D175" s="42" t="n">
        <x:v>-120</x:v>
      </x:c>
      <x:c r="E175" s="41" t="b">
        <x:v>1</x:v>
      </x:c>
      <x:c r="F175" s="39" t="str">
        <x:v>260829</x:v>
      </x:c>
      <x:c r="G175" s="43" t="n">
        <x:v>6</x:v>
      </x:c>
      <x:c r="H175" s="39" t="str">
        <x:v>VALID</x:v>
      </x:c>
    </x:row>
    <x:row r="176">
      <x:c r="A176" s="39" t="str">
        <x:v>2026-08-29</x:v>
      </x:c>
      <x:c r="B176" s="43" t="n">
        <x:v>5</x:v>
      </x:c>
      <x:c r="C176" s="39" t="str">
        <x:v>6669</x:v>
      </x:c>
      <x:c r="D176" s="42" t="n">
        <x:v>357.5</x:v>
      </x:c>
      <x:c r="E176" s="41" t="b">
        <x:v>1</x:v>
      </x:c>
      <x:c r="F176" s="39" t="str">
        <x:v>260829</x:v>
      </x:c>
      <x:c r="G176" s="43" t="n">
        <x:v>6</x:v>
      </x:c>
      <x:c r="H176" s="39" t="str">
        <x:v>VALID</x:v>
      </x:c>
    </x:row>
    <x:row r="177">
      <x:c r="A177" s="39" t="str">
        <x:v>2026-08-29</x:v>
      </x:c>
      <x:c r="B177" s="43" t="n">
        <x:v>5</x:v>
      </x:c>
      <x:c r="C177" s="39" t="str">
        <x:v>PPAW</x:v>
      </x:c>
      <x:c r="D177" s="42" t="n">
        <x:v>-250</x:v>
      </x:c>
      <x:c r="E177" s="41" t="b">
        <x:v>1</x:v>
      </x:c>
      <x:c r="F177" s="39" t="str">
        <x:v>260829</x:v>
      </x:c>
      <x:c r="G177" s="43" t="n">
        <x:v>6</x:v>
      </x:c>
      <x:c r="H177" s="39" t="str">
        <x:v>VALID</x:v>
      </x:c>
    </x:row>
    <x:row r="178">
      <x:c r="A178" s="39" t="str">
        <x:v>2026-08-29</x:v>
      </x:c>
      <x:c r="B178" s="43" t="n">
        <x:v>6</x:v>
      </x:c>
      <x:c r="C178" s="39" t="str">
        <x:v>強的可怕</x:v>
      </x:c>
      <x:c r="D178" s="42" t="n">
        <x:v>-250</x:v>
      </x:c>
      <x:c r="E178" s="41" t="b">
        <x:v>1</x:v>
      </x:c>
      <x:c r="F178" s="39" t="str">
        <x:v>260829</x:v>
      </x:c>
      <x:c r="G178" s="43" t="n">
        <x:v>7</x:v>
      </x:c>
      <x:c r="H178" s="39" t="str">
        <x:v>VALID</x:v>
      </x:c>
    </x:row>
    <x:row r="179">
      <x:c r="A179" s="39" t="str">
        <x:v>2026-08-29</x:v>
      </x:c>
      <x:c r="B179" s="43" t="n">
        <x:v>6</x:v>
      </x:c>
      <x:c r="C179" s="39" t="str">
        <x:v>KK之王</x:v>
      </x:c>
      <x:c r="D179" s="42" t="n">
        <x:v>172.5</x:v>
      </x:c>
      <x:c r="E179" s="41" t="b">
        <x:v>1</x:v>
      </x:c>
      <x:c r="F179" s="39" t="str">
        <x:v>260829</x:v>
      </x:c>
      <x:c r="G179" s="43" t="n">
        <x:v>7</x:v>
      </x:c>
      <x:c r="H179" s="39" t="str">
        <x:v>VALID</x:v>
      </x:c>
    </x:row>
    <x:row r="180">
      <x:c r="A180" s="39" t="str">
        <x:v>2026-08-29</x:v>
      </x:c>
      <x:c r="B180" s="43" t="n">
        <x:v>6</x:v>
      </x:c>
      <x:c r="C180" s="39" t="str">
        <x:v>大舅哥</x:v>
      </x:c>
      <x:c r="D180" s="42" t="n">
        <x:v>-30</x:v>
      </x:c>
      <x:c r="E180" s="41" t="b">
        <x:v>1</x:v>
      </x:c>
      <x:c r="F180" s="39" t="str">
        <x:v>260829</x:v>
      </x:c>
      <x:c r="G180" s="43" t="n">
        <x:v>7</x:v>
      </x:c>
      <x:c r="H180" s="39" t="str">
        <x:v>VALID</x:v>
      </x:c>
    </x:row>
    <x:row r="181">
      <x:c r="A181" s="39" t="str">
        <x:v>2026-08-29</x:v>
      </x:c>
      <x:c r="B181" s="43" t="n">
        <x:v>6</x:v>
      </x:c>
      <x:c r="C181" s="39" t="str">
        <x:v>z隕石毀滅者</x:v>
      </x:c>
      <x:c r="D181" s="42" t="n">
        <x:v>-92.5</x:v>
      </x:c>
      <x:c r="E181" s="41" t="b">
        <x:v>1</x:v>
      </x:c>
      <x:c r="F181" s="39" t="str">
        <x:v>260829</x:v>
      </x:c>
      <x:c r="G181" s="43" t="n">
        <x:v>7</x:v>
      </x:c>
      <x:c r="H181" s="39" t="str">
        <x:v>VALID</x:v>
      </x:c>
    </x:row>
    <x:row r="182">
      <x:c r="A182" s="39" t="str">
        <x:v>2026-08-29</x:v>
      </x:c>
      <x:c r="B182" s="43" t="n">
        <x:v>6</x:v>
      </x:c>
      <x:c r="C182" s="39" t="str">
        <x:v>6669</x:v>
      </x:c>
      <x:c r="D182" s="42" t="n">
        <x:v>267.5</x:v>
      </x:c>
      <x:c r="E182" s="41" t="b">
        <x:v>1</x:v>
      </x:c>
      <x:c r="F182" s="39" t="str">
        <x:v>260829</x:v>
      </x:c>
      <x:c r="G182" s="43" t="n">
        <x:v>7</x:v>
      </x:c>
      <x:c r="H182" s="39" t="str">
        <x:v>VALID</x:v>
      </x:c>
    </x:row>
    <x:row r="183">
      <x:c r="A183" s="39" t="str">
        <x:v>2026-08-29</x:v>
      </x:c>
      <x:c r="B183" s="43" t="n">
        <x:v>6</x:v>
      </x:c>
      <x:c r="C183" s="39" t="str">
        <x:v>PPAW</x:v>
      </x:c>
      <x:c r="D183" s="42" t="n">
        <x:v>-67.5</x:v>
      </x:c>
      <x:c r="E183" s="41" t="b">
        <x:v>1</x:v>
      </x:c>
      <x:c r="F183" s="39" t="str">
        <x:v>260829</x:v>
      </x:c>
      <x:c r="G183" s="43" t="n">
        <x:v>7</x:v>
      </x:c>
      <x:c r="H183" s="39" t="str">
        <x:v>VALID</x:v>
      </x:c>
    </x:row>
    <x:row r="184">
      <x:c r="A184" s="39" t="str">
        <x:v>2026-08-29</x:v>
      </x:c>
      <x:c r="B184" s="43" t="n">
        <x:v>7</x:v>
      </x:c>
      <x:c r="C184" s="39" t="str">
        <x:v>強的可怕</x:v>
      </x:c>
      <x:c r="D184" s="42" t="n">
        <x:v>-90</x:v>
      </x:c>
      <x:c r="E184" s="41" t="b">
        <x:v>1</x:v>
      </x:c>
      <x:c r="F184" s="39" t="str">
        <x:v>260829</x:v>
      </x:c>
      <x:c r="G184" s="43" t="n">
        <x:v>8</x:v>
      </x:c>
      <x:c r="H184" s="39" t="str">
        <x:v>VALID</x:v>
      </x:c>
    </x:row>
    <x:row r="185">
      <x:c r="A185" s="39" t="str">
        <x:v>2026-08-29</x:v>
      </x:c>
      <x:c r="B185" s="43" t="n">
        <x:v>7</x:v>
      </x:c>
      <x:c r="C185" s="39" t="str">
        <x:v>KK之王</x:v>
      </x:c>
      <x:c r="D185" s="42" t="n">
        <x:v>-55</x:v>
      </x:c>
      <x:c r="E185" s="41" t="b">
        <x:v>1</x:v>
      </x:c>
      <x:c r="F185" s="39" t="str">
        <x:v>260829</x:v>
      </x:c>
      <x:c r="G185" s="43" t="n">
        <x:v>8</x:v>
      </x:c>
      <x:c r="H185" s="39" t="str">
        <x:v>VALID</x:v>
      </x:c>
    </x:row>
    <x:row r="186">
      <x:c r="A186" s="39" t="str">
        <x:v>2026-08-29</x:v>
      </x:c>
      <x:c r="B186" s="43" t="n">
        <x:v>7</x:v>
      </x:c>
      <x:c r="C186" s="39" t="str">
        <x:v>大舅哥</x:v>
      </x:c>
      <x:c r="D186" s="42" t="n">
        <x:v>-250</x:v>
      </x:c>
      <x:c r="E186" s="41" t="b">
        <x:v>1</x:v>
      </x:c>
      <x:c r="F186" s="39" t="str">
        <x:v>260829</x:v>
      </x:c>
      <x:c r="G186" s="43" t="n">
        <x:v>8</x:v>
      </x:c>
      <x:c r="H186" s="39" t="str">
        <x:v>VALID</x:v>
      </x:c>
    </x:row>
    <x:row r="187">
      <x:c r="A187" s="39" t="str">
        <x:v>2026-08-29</x:v>
      </x:c>
      <x:c r="B187" s="43" t="n">
        <x:v>7</x:v>
      </x:c>
      <x:c r="C187" s="39" t="str">
        <x:v>z隕石毀滅者</x:v>
      </x:c>
      <x:c r="D187" s="42" t="n">
        <x:v>-155</x:v>
      </x:c>
      <x:c r="E187" s="41" t="b">
        <x:v>1</x:v>
      </x:c>
      <x:c r="F187" s="39" t="str">
        <x:v>260829</x:v>
      </x:c>
      <x:c r="G187" s="43" t="n">
        <x:v>8</x:v>
      </x:c>
      <x:c r="H187" s="39" t="str">
        <x:v>VALID</x:v>
      </x:c>
    </x:row>
    <x:row r="188">
      <x:c r="A188" s="39" t="str">
        <x:v>2026-08-29</x:v>
      </x:c>
      <x:c r="B188" s="43" t="n">
        <x:v>7</x:v>
      </x:c>
      <x:c r="C188" s="39" t="str">
        <x:v>6669</x:v>
      </x:c>
      <x:c r="D188" s="42" t="n">
        <x:v>540</x:v>
      </x:c>
      <x:c r="E188" s="41" t="b">
        <x:v>1</x:v>
      </x:c>
      <x:c r="F188" s="39" t="str">
        <x:v>260829</x:v>
      </x:c>
      <x:c r="G188" s="43" t="n">
        <x:v>8</x:v>
      </x:c>
      <x:c r="H188" s="39" t="str">
        <x:v>VALID</x:v>
      </x:c>
    </x:row>
    <x:row r="189">
      <x:c r="A189" s="39" t="str">
        <x:v>2026-08-29</x:v>
      </x:c>
      <x:c r="B189" s="43" t="n">
        <x:v>7</x:v>
      </x:c>
      <x:c r="C189" s="39" t="str">
        <x:v>PPAW</x:v>
      </x:c>
      <x:c r="D189" s="42" t="n">
        <x:v>10</x:v>
      </x:c>
      <x:c r="E189" s="41" t="b">
        <x:v>1</x:v>
      </x:c>
      <x:c r="F189" s="39" t="str">
        <x:v>260829</x:v>
      </x:c>
      <x:c r="G189" s="43" t="n">
        <x:v>8</x:v>
      </x:c>
      <x:c r="H189" s="39" t="str">
        <x:v>VALID</x:v>
      </x:c>
    </x:row>
    <x:row r="190">
      <x:c r="A190" s="39" t="str">
        <x:v>2026-08-29</x:v>
      </x:c>
      <x:c r="B190" s="43" t="n">
        <x:v>8</x:v>
      </x:c>
      <x:c r="C190" s="39" t="str">
        <x:v>強的可怕</x:v>
      </x:c>
      <x:c r="D190" s="42" t="n">
        <x:v>305</x:v>
      </x:c>
      <x:c r="E190" s="41" t="b">
        <x:v>1</x:v>
      </x:c>
      <x:c r="F190" s="39" t="str">
        <x:v>260829</x:v>
      </x:c>
      <x:c r="G190" s="43" t="n">
        <x:v>9</x:v>
      </x:c>
      <x:c r="H190" s="39" t="str">
        <x:v>VALID</x:v>
      </x:c>
    </x:row>
    <x:row r="191">
      <x:c r="A191" s="39" t="str">
        <x:v>2026-08-29</x:v>
      </x:c>
      <x:c r="B191" s="43" t="n">
        <x:v>8</x:v>
      </x:c>
      <x:c r="C191" s="39" t="str">
        <x:v>KK之王</x:v>
      </x:c>
      <x:c r="D191" s="42" t="n">
        <x:v>-145</x:v>
      </x:c>
      <x:c r="E191" s="41" t="b">
        <x:v>1</x:v>
      </x:c>
      <x:c r="F191" s="39" t="str">
        <x:v>260829</x:v>
      </x:c>
      <x:c r="G191" s="43" t="n">
        <x:v>9</x:v>
      </x:c>
      <x:c r="H191" s="39" t="str">
        <x:v>VALID</x:v>
      </x:c>
    </x:row>
    <x:row r="192">
      <x:c r="A192" s="39" t="str">
        <x:v>2026-08-29</x:v>
      </x:c>
      <x:c r="B192" s="43" t="n">
        <x:v>8</x:v>
      </x:c>
      <x:c r="C192" s="39" t="str">
        <x:v>大舅哥</x:v>
      </x:c>
      <x:c r="D192" s="42" t="n">
        <x:v>112.5</x:v>
      </x:c>
      <x:c r="E192" s="41" t="b">
        <x:v>1</x:v>
      </x:c>
      <x:c r="F192" s="39" t="str">
        <x:v>260829</x:v>
      </x:c>
      <x:c r="G192" s="43" t="n">
        <x:v>9</x:v>
      </x:c>
      <x:c r="H192" s="39" t="str">
        <x:v>VALID</x:v>
      </x:c>
    </x:row>
    <x:row r="193">
      <x:c r="A193" s="39" t="str">
        <x:v>2026-08-29</x:v>
      </x:c>
      <x:c r="B193" s="43" t="n">
        <x:v>8</x:v>
      </x:c>
      <x:c r="C193" s="39" t="str">
        <x:v>z隕石毀滅者</x:v>
      </x:c>
      <x:c r="D193" s="42" t="n">
        <x:v>182.5</x:v>
      </x:c>
      <x:c r="E193" s="41" t="b">
        <x:v>1</x:v>
      </x:c>
      <x:c r="F193" s="39" t="str">
        <x:v>260829</x:v>
      </x:c>
      <x:c r="G193" s="43" t="n">
        <x:v>9</x:v>
      </x:c>
      <x:c r="H193" s="39" t="str">
        <x:v>VALID</x:v>
      </x:c>
    </x:row>
    <x:row r="194">
      <x:c r="A194" s="39" t="str">
        <x:v>2026-08-29</x:v>
      </x:c>
      <x:c r="B194" s="43" t="n">
        <x:v>8</x:v>
      </x:c>
      <x:c r="C194" s="39" t="str">
        <x:v>6669</x:v>
      </x:c>
      <x:c r="D194" s="42" t="n">
        <x:v>-245</x:v>
      </x:c>
      <x:c r="E194" s="41" t="b">
        <x:v>1</x:v>
      </x:c>
      <x:c r="F194" s="39" t="str">
        <x:v>260829</x:v>
      </x:c>
      <x:c r="G194" s="43" t="n">
        <x:v>9</x:v>
      </x:c>
      <x:c r="H194" s="39" t="str">
        <x:v>VALID</x:v>
      </x:c>
    </x:row>
    <x:row r="195">
      <x:c r="A195" s="39" t="str">
        <x:v>2026-08-29</x:v>
      </x:c>
      <x:c r="B195" s="43" t="n">
        <x:v>8</x:v>
      </x:c>
      <x:c r="C195" s="39" t="str">
        <x:v>PPAW</x:v>
      </x:c>
      <x:c r="D195" s="42" t="n">
        <x:v>-210</x:v>
      </x:c>
      <x:c r="E195" s="41" t="b">
        <x:v>1</x:v>
      </x:c>
      <x:c r="F195" s="39" t="str">
        <x:v>260829</x:v>
      </x:c>
      <x:c r="G195" s="43" t="n">
        <x:v>9</x:v>
      </x:c>
      <x:c r="H195" s="39" t="str">
        <x:v>VALID</x:v>
      </x:c>
    </x:row>
    <x:row r="196">
      <x:c r="A196" s="39" t="str">
        <x:v>2026-08-29</x:v>
      </x:c>
      <x:c r="B196" s="43" t="n">
        <x:v>9</x:v>
      </x:c>
      <x:c r="C196" s="39" t="str">
        <x:v>強的可怕</x:v>
      </x:c>
      <x:c r="D196" s="42" t="n">
        <x:v>-70</x:v>
      </x:c>
      <x:c r="E196" s="41" t="b">
        <x:v>1</x:v>
      </x:c>
      <x:c r="F196" s="39" t="str">
        <x:v>260829</x:v>
      </x:c>
      <x:c r="G196" s="43" t="n">
        <x:v>10</x:v>
      </x:c>
      <x:c r="H196" s="39" t="str">
        <x:v>VALID</x:v>
      </x:c>
    </x:row>
    <x:row r="197">
      <x:c r="A197" s="39" t="str">
        <x:v>2026-08-29</x:v>
      </x:c>
      <x:c r="B197" s="43" t="n">
        <x:v>9</x:v>
      </x:c>
      <x:c r="C197" s="39" t="str">
        <x:v>KK之王</x:v>
      </x:c>
      <x:c r="D197" s="42" t="n">
        <x:v>62.5</x:v>
      </x:c>
      <x:c r="E197" s="41" t="b">
        <x:v>1</x:v>
      </x:c>
      <x:c r="F197" s="39" t="str">
        <x:v>260829</x:v>
      </x:c>
      <x:c r="G197" s="43" t="n">
        <x:v>10</x:v>
      </x:c>
      <x:c r="H197" s="39" t="str">
        <x:v>VALID</x:v>
      </x:c>
    </x:row>
    <x:row r="198">
      <x:c r="A198" s="39" t="str">
        <x:v>2026-08-29</x:v>
      </x:c>
      <x:c r="B198" s="43" t="n">
        <x:v>9</x:v>
      </x:c>
      <x:c r="C198" s="39" t="str">
        <x:v>大舅哥</x:v>
      </x:c>
      <x:c r="D198" s="42" t="n">
        <x:v>-80</x:v>
      </x:c>
      <x:c r="E198" s="41" t="b">
        <x:v>1</x:v>
      </x:c>
      <x:c r="F198" s="39" t="str">
        <x:v>260829</x:v>
      </x:c>
      <x:c r="G198" s="43" t="n">
        <x:v>10</x:v>
      </x:c>
      <x:c r="H198" s="39" t="str">
        <x:v>VALID</x:v>
      </x:c>
    </x:row>
    <x:row r="199">
      <x:c r="A199" s="39" t="str">
        <x:v>2026-08-29</x:v>
      </x:c>
      <x:c r="B199" s="43" t="n">
        <x:v>9</x:v>
      </x:c>
      <x:c r="C199" s="39" t="str">
        <x:v>z隕石毀滅者</x:v>
      </x:c>
      <x:c r="D199" s="42" t="n">
        <x:v>350</x:v>
      </x:c>
      <x:c r="E199" s="41" t="b">
        <x:v>1</x:v>
      </x:c>
      <x:c r="F199" s="39" t="str">
        <x:v>260829</x:v>
      </x:c>
      <x:c r="G199" s="43" t="n">
        <x:v>10</x:v>
      </x:c>
      <x:c r="H199" s="39" t="str">
        <x:v>VALID</x:v>
      </x:c>
    </x:row>
    <x:row r="200">
      <x:c r="A200" s="39" t="str">
        <x:v>2026-08-29</x:v>
      </x:c>
      <x:c r="B200" s="43" t="n">
        <x:v>9</x:v>
      </x:c>
      <x:c r="C200" s="39" t="str">
        <x:v>6669</x:v>
      </x:c>
      <x:c r="D200" s="42" t="n">
        <x:v>-12.5</x:v>
      </x:c>
      <x:c r="E200" s="41" t="b">
        <x:v>1</x:v>
      </x:c>
      <x:c r="F200" s="39" t="str">
        <x:v>260829</x:v>
      </x:c>
      <x:c r="G200" s="43" t="n">
        <x:v>10</x:v>
      </x:c>
      <x:c r="H200" s="39" t="str">
        <x:v>VALID</x:v>
      </x:c>
    </x:row>
    <x:row r="201">
      <x:c r="A201" s="39" t="str">
        <x:v>2026-08-29</x:v>
      </x:c>
      <x:c r="B201" s="43" t="n">
        <x:v>9</x:v>
      </x:c>
      <x:c r="C201" s="39" t="str">
        <x:v>PPAW</x:v>
      </x:c>
      <x:c r="D201" s="42" t="n">
        <x:v>-250</x:v>
      </x:c>
      <x:c r="E201" s="41" t="b">
        <x:v>1</x:v>
      </x:c>
      <x:c r="F201" s="39" t="str">
        <x:v>260829</x:v>
      </x:c>
      <x:c r="G201" s="43" t="n">
        <x:v>10</x:v>
      </x:c>
      <x:c r="H201" s="39" t="str">
        <x:v>VALID</x:v>
      </x:c>
    </x:row>
    <x:row r="202">
      <x:c r="A202" s="39" t="str">
        <x:v>2026-08-29</x:v>
      </x:c>
      <x:c r="B202" s="43" t="n">
        <x:v>10</x:v>
      </x:c>
      <x:c r="C202" s="39" t="str">
        <x:v>強的可怕</x:v>
      </x:c>
      <x:c r="D202" s="42" t="n">
        <x:v>-77.5</x:v>
      </x:c>
      <x:c r="E202" s="41" t="b">
        <x:v>1</x:v>
      </x:c>
      <x:c r="F202" s="39" t="str">
        <x:v>260829</x:v>
      </x:c>
      <x:c r="G202" s="43" t="n">
        <x:v>11</x:v>
      </x:c>
      <x:c r="H202" s="39" t="str">
        <x:v>VALID</x:v>
      </x:c>
    </x:row>
    <x:row r="203">
      <x:c r="A203" s="39" t="str">
        <x:v>2026-08-29</x:v>
      </x:c>
      <x:c r="B203" s="43" t="n">
        <x:v>10</x:v>
      </x:c>
      <x:c r="C203" s="39" t="str">
        <x:v>KK之王</x:v>
      </x:c>
      <x:c r="D203" s="42" t="n">
        <x:v>135</x:v>
      </x:c>
      <x:c r="E203" s="41" t="b">
        <x:v>1</x:v>
      </x:c>
      <x:c r="F203" s="39" t="str">
        <x:v>260829</x:v>
      </x:c>
      <x:c r="G203" s="43" t="n">
        <x:v>11</x:v>
      </x:c>
      <x:c r="H203" s="39" t="str">
        <x:v>VALID</x:v>
      </x:c>
    </x:row>
    <x:row r="204">
      <x:c r="A204" s="39" t="str">
        <x:v>2026-08-29</x:v>
      </x:c>
      <x:c r="B204" s="43" t="n">
        <x:v>10</x:v>
      </x:c>
      <x:c r="C204" s="39" t="str">
        <x:v>大舅哥</x:v>
      </x:c>
      <x:c r="D204" s="42" t="n">
        <x:v>75</x:v>
      </x:c>
      <x:c r="E204" s="41" t="b">
        <x:v>1</x:v>
      </x:c>
      <x:c r="F204" s="39" t="str">
        <x:v>260829</x:v>
      </x:c>
      <x:c r="G204" s="43" t="n">
        <x:v>11</x:v>
      </x:c>
      <x:c r="H204" s="39" t="str">
        <x:v>VALID</x:v>
      </x:c>
    </x:row>
    <x:row r="205">
      <x:c r="A205" s="39" t="str">
        <x:v>2026-08-29</x:v>
      </x:c>
      <x:c r="B205" s="43" t="n">
        <x:v>10</x:v>
      </x:c>
      <x:c r="C205" s="39" t="str">
        <x:v>z隕石毀滅者</x:v>
      </x:c>
      <x:c r="D205" s="42" t="n">
        <x:v>12.5</x:v>
      </x:c>
      <x:c r="E205" s="41" t="b">
        <x:v>1</x:v>
      </x:c>
      <x:c r="F205" s="39" t="str">
        <x:v>260829</x:v>
      </x:c>
      <x:c r="G205" s="43" t="n">
        <x:v>11</x:v>
      </x:c>
      <x:c r="H205" s="39" t="str">
        <x:v>VALID</x:v>
      </x:c>
    </x:row>
    <x:row r="206">
      <x:c r="A206" s="39" t="str">
        <x:v>2026-08-29</x:v>
      </x:c>
      <x:c r="B206" s="43" t="n">
        <x:v>10</x:v>
      </x:c>
      <x:c r="C206" s="39" t="str">
        <x:v>6669</x:v>
      </x:c>
      <x:c r="D206" s="42" t="n">
        <x:v>-250</x:v>
      </x:c>
      <x:c r="E206" s="41" t="b">
        <x:v>1</x:v>
      </x:c>
      <x:c r="F206" s="39" t="str">
        <x:v>260829</x:v>
      </x:c>
      <x:c r="G206" s="43" t="n">
        <x:v>11</x:v>
      </x:c>
      <x:c r="H206" s="39" t="str">
        <x:v>VALID</x:v>
      </x:c>
    </x:row>
    <x:row r="207">
      <x:c r="A207" s="39" t="str">
        <x:v>2026-08-29</x:v>
      </x:c>
      <x:c r="B207" s="43" t="n">
        <x:v>10</x:v>
      </x:c>
      <x:c r="C207" s="39" t="str">
        <x:v>PPAW</x:v>
      </x:c>
      <x:c r="D207" s="42" t="n">
        <x:v>105</x:v>
      </x:c>
      <x:c r="E207" s="41" t="b">
        <x:v>1</x:v>
      </x:c>
      <x:c r="F207" s="39" t="str">
        <x:v>260829</x:v>
      </x:c>
      <x:c r="G207" s="43" t="n">
        <x:v>11</x:v>
      </x:c>
      <x:c r="H207" s="39" t="str">
        <x:v>VALID</x:v>
      </x:c>
    </x:row>
    <x:row r="208">
      <x:c r="A208" s="39" t="str">
        <x:v>2026-08-29</x:v>
      </x:c>
      <x:c r="B208" s="43" t="n">
        <x:v>11</x:v>
      </x:c>
      <x:c r="C208" s="39" t="str">
        <x:v>強的可怕</x:v>
      </x:c>
      <x:c r="D208" s="42" t="n">
        <x:v>110</x:v>
      </x:c>
      <x:c r="E208" s="41" t="b">
        <x:v>1</x:v>
      </x:c>
      <x:c r="F208" s="39" t="str">
        <x:v>260829</x:v>
      </x:c>
      <x:c r="G208" s="43" t="n">
        <x:v>12</x:v>
      </x:c>
      <x:c r="H208" s="39" t="str">
        <x:v>VALID</x:v>
      </x:c>
    </x:row>
    <x:row r="209">
      <x:c r="A209" s="39" t="str">
        <x:v>2026-08-29</x:v>
      </x:c>
      <x:c r="B209" s="43" t="n">
        <x:v>11</x:v>
      </x:c>
      <x:c r="C209" s="39" t="str">
        <x:v>KK之王</x:v>
      </x:c>
      <x:c r="D209" s="42" t="n">
        <x:v>-192.5</x:v>
      </x:c>
      <x:c r="E209" s="41" t="b">
        <x:v>1</x:v>
      </x:c>
      <x:c r="F209" s="39" t="str">
        <x:v>260829</x:v>
      </x:c>
      <x:c r="G209" s="43" t="n">
        <x:v>12</x:v>
      </x:c>
      <x:c r="H209" s="39" t="str">
        <x:v>VALID</x:v>
      </x:c>
    </x:row>
    <x:row r="210">
      <x:c r="A210" s="39" t="str">
        <x:v>2026-08-29</x:v>
      </x:c>
      <x:c r="B210" s="43" t="n">
        <x:v>11</x:v>
      </x:c>
      <x:c r="C210" s="39" t="str">
        <x:v>河牌幹死你</x:v>
      </x:c>
      <x:c r="D210" s="42" t="n">
        <x:v>50</x:v>
      </x:c>
      <x:c r="E210" s="41" t="b">
        <x:v>1</x:v>
      </x:c>
      <x:c r="F210" s="39" t="str">
        <x:v>260829</x:v>
      </x:c>
      <x:c r="G210" s="43" t="n">
        <x:v>12</x:v>
      </x:c>
      <x:c r="H210" s="39" t="str">
        <x:v>VALID</x:v>
      </x:c>
    </x:row>
    <x:row r="211">
      <x:c r="A211" s="39" t="str">
        <x:v>2026-08-29</x:v>
      </x:c>
      <x:c r="B211" s="43" t="n">
        <x:v>11</x:v>
      </x:c>
      <x:c r="C211" s="39" t="str">
        <x:v>大舅哥</x:v>
      </x:c>
      <x:c r="D211" s="42" t="n">
        <x:v>-75</x:v>
      </x:c>
      <x:c r="E211" s="41" t="b">
        <x:v>1</x:v>
      </x:c>
      <x:c r="F211" s="39" t="str">
        <x:v>260829</x:v>
      </x:c>
      <x:c r="G211" s="43" t="n">
        <x:v>12</x:v>
      </x:c>
      <x:c r="H211" s="39" t="str">
        <x:v>VALID</x:v>
      </x:c>
    </x:row>
    <x:row r="212">
      <x:c r="A212" s="39" t="str">
        <x:v>2026-08-29</x:v>
      </x:c>
      <x:c r="B212" s="43" t="n">
        <x:v>11</x:v>
      </x:c>
      <x:c r="C212" s="39" t="str">
        <x:v>z隕石毀滅者</x:v>
      </x:c>
      <x:c r="D212" s="42" t="n">
        <x:v>252.5</x:v>
      </x:c>
      <x:c r="E212" s="41" t="b">
        <x:v>1</x:v>
      </x:c>
      <x:c r="F212" s="39" t="str">
        <x:v>260829</x:v>
      </x:c>
      <x:c r="G212" s="43" t="n">
        <x:v>12</x:v>
      </x:c>
      <x:c r="H212" s="39" t="str">
        <x:v>VALID</x:v>
      </x:c>
    </x:row>
    <x:row r="213">
      <x:c r="A213" s="39" t="str">
        <x:v>2026-08-29</x:v>
      </x:c>
      <x:c r="B213" s="43" t="n">
        <x:v>11</x:v>
      </x:c>
      <x:c r="C213" s="39" t="str">
        <x:v>6669</x:v>
      </x:c>
      <x:c r="D213" s="42" t="n">
        <x:v>-250</x:v>
      </x:c>
      <x:c r="E213" s="41" t="b">
        <x:v>1</x:v>
      </x:c>
      <x:c r="F213" s="39" t="str">
        <x:v>260829</x:v>
      </x:c>
      <x:c r="G213" s="43" t="n">
        <x:v>12</x:v>
      </x:c>
      <x:c r="H213" s="39" t="str">
        <x:v>VALID</x:v>
      </x:c>
    </x:row>
    <x:row r="214">
      <x:c r="A214" s="39" t="str">
        <x:v>2026-08-29</x:v>
      </x:c>
      <x:c r="B214" s="43" t="n">
        <x:v>11</x:v>
      </x:c>
      <x:c r="C214" s="39" t="str">
        <x:v>PPAW</x:v>
      </x:c>
      <x:c r="D214" s="42" t="n">
        <x:v>-30</x:v>
      </x:c>
      <x:c r="E214" s="41" t="b">
        <x:v>1</x:v>
      </x:c>
      <x:c r="F214" s="39" t="str">
        <x:v>260829</x:v>
      </x:c>
      <x:c r="G214" s="43" t="n">
        <x:v>12</x:v>
      </x:c>
      <x:c r="H214" s="39" t="str">
        <x:v>VALID</x:v>
      </x:c>
    </x:row>
    <x:row r="215">
      <x:c r="A215" s="39" t="str">
        <x:v>2026-08-29</x:v>
      </x:c>
      <x:c r="B215" s="43" t="n">
        <x:v>11</x:v>
      </x:c>
      <x:c r="C215" s="39" t="str">
        <x:v>小騷屄</x:v>
      </x:c>
      <x:c r="D215" s="42" t="n">
        <x:v>135</x:v>
      </x:c>
      <x:c r="E215" s="41" t="b">
        <x:v>1</x:v>
      </x:c>
      <x:c r="F215" s="39" t="str">
        <x:v>260829</x:v>
      </x:c>
      <x:c r="G215" s="43" t="n">
        <x:v>12</x:v>
      </x:c>
      <x:c r="H215" s="39" t="str">
        <x:v>VALID</x:v>
      </x:c>
    </x:row>
    <x:row r="216">
      <x:c r="A216" s="39" t="str">
        <x:v>2026-08-29</x:v>
      </x:c>
      <x:c r="B216" s="43" t="n">
        <x:v>12</x:v>
      </x:c>
      <x:c r="C216" s="39" t="str">
        <x:v>強的可怕</x:v>
      </x:c>
      <x:c r="D216" s="42" t="n">
        <x:v>85</x:v>
      </x:c>
      <x:c r="E216" s="41" t="b">
        <x:v>1</x:v>
      </x:c>
      <x:c r="F216" s="39" t="str">
        <x:v>260829</x:v>
      </x:c>
      <x:c r="G216" s="43" t="n">
        <x:v>13</x:v>
      </x:c>
      <x:c r="H216" s="39" t="str">
        <x:v>VALID</x:v>
      </x:c>
    </x:row>
    <x:row r="217">
      <x:c r="A217" s="39" t="str">
        <x:v>2026-08-29</x:v>
      </x:c>
      <x:c r="B217" s="43" t="n">
        <x:v>12</x:v>
      </x:c>
      <x:c r="C217" s="39" t="str">
        <x:v>KK之王</x:v>
      </x:c>
      <x:c r="D217" s="42" t="n">
        <x:v>-192.5</x:v>
      </x:c>
      <x:c r="E217" s="41" t="b">
        <x:v>1</x:v>
      </x:c>
      <x:c r="F217" s="39" t="str">
        <x:v>260829</x:v>
      </x:c>
      <x:c r="G217" s="43" t="n">
        <x:v>13</x:v>
      </x:c>
      <x:c r="H217" s="39" t="str">
        <x:v>VALID</x:v>
      </x:c>
    </x:row>
    <x:row r="218">
      <x:c r="A218" s="39" t="str">
        <x:v>2026-08-29</x:v>
      </x:c>
      <x:c r="B218" s="43" t="n">
        <x:v>12</x:v>
      </x:c>
      <x:c r="C218" s="39" t="str">
        <x:v>大舅哥</x:v>
      </x:c>
      <x:c r="D218" s="42" t="n">
        <x:v>-250</x:v>
      </x:c>
      <x:c r="E218" s="41" t="b">
        <x:v>1</x:v>
      </x:c>
      <x:c r="F218" s="39" t="str">
        <x:v>260829</x:v>
      </x:c>
      <x:c r="G218" s="43" t="n">
        <x:v>13</x:v>
      </x:c>
      <x:c r="H218" s="39" t="str">
        <x:v>VALID</x:v>
      </x:c>
    </x:row>
    <x:row r="219">
      <x:c r="A219" s="39" t="str">
        <x:v>2026-08-29</x:v>
      </x:c>
      <x:c r="B219" s="43" t="n">
        <x:v>12</x:v>
      </x:c>
      <x:c r="C219" s="39" t="str">
        <x:v>z隕石毀滅者</x:v>
      </x:c>
      <x:c r="D219" s="42" t="n">
        <x:v>-57.5</x:v>
      </x:c>
      <x:c r="E219" s="41" t="b">
        <x:v>1</x:v>
      </x:c>
      <x:c r="F219" s="39" t="str">
        <x:v>260829</x:v>
      </x:c>
      <x:c r="G219" s="43" t="n">
        <x:v>13</x:v>
      </x:c>
      <x:c r="H219" s="39" t="str">
        <x:v>VALID</x:v>
      </x:c>
    </x:row>
    <x:row r="220">
      <x:c r="A220" s="39" t="str">
        <x:v>2026-08-29</x:v>
      </x:c>
      <x:c r="B220" s="43" t="n">
        <x:v>12</x:v>
      </x:c>
      <x:c r="C220" s="39" t="str">
        <x:v>6669</x:v>
      </x:c>
      <x:c r="D220" s="42" t="n">
        <x:v>300</x:v>
      </x:c>
      <x:c r="E220" s="41" t="b">
        <x:v>1</x:v>
      </x:c>
      <x:c r="F220" s="39" t="str">
        <x:v>260829</x:v>
      </x:c>
      <x:c r="G220" s="43" t="n">
        <x:v>13</x:v>
      </x:c>
      <x:c r="H220" s="39" t="str">
        <x:v>VALID</x:v>
      </x:c>
    </x:row>
    <x:row r="221">
      <x:c r="A221" s="39" t="str">
        <x:v>2026-08-29</x:v>
      </x:c>
      <x:c r="B221" s="43" t="n">
        <x:v>12</x:v>
      </x:c>
      <x:c r="C221" s="39" t="str">
        <x:v>PPAW</x:v>
      </x:c>
      <x:c r="D221" s="42" t="n">
        <x:v>-185</x:v>
      </x:c>
      <x:c r="E221" s="41" t="b">
        <x:v>1</x:v>
      </x:c>
      <x:c r="F221" s="39" t="str">
        <x:v>260829</x:v>
      </x:c>
      <x:c r="G221" s="43" t="n">
        <x:v>13</x:v>
      </x:c>
      <x:c r="H221" s="39" t="str">
        <x:v>VALID</x:v>
      </x:c>
    </x:row>
    <x:row r="222">
      <x:c r="A222" s="39" t="str">
        <x:v>2026-08-29</x:v>
      </x:c>
      <x:c r="B222" s="43" t="n">
        <x:v>12</x:v>
      </x:c>
      <x:c r="C222" s="39" t="str">
        <x:v>小騷屄</x:v>
      </x:c>
      <x:c r="D222" s="42" t="n">
        <x:v>300</x:v>
      </x:c>
      <x:c r="E222" s="41" t="b">
        <x:v>1</x:v>
      </x:c>
      <x:c r="F222" s="39" t="str">
        <x:v>260829</x:v>
      </x:c>
      <x:c r="G222" s="43" t="n">
        <x:v>13</x:v>
      </x:c>
      <x:c r="H222" s="39" t="str">
        <x:v>VALID</x:v>
      </x:c>
    </x:row>
    <x:row r="223">
      <x:c r="A223" s="39" t="str">
        <x:v>2026-09-12</x:v>
      </x:c>
      <x:c r="B223" s="43" t="n">
        <x:v>1</x:v>
      </x:c>
      <x:c r="C223" s="39" t="str">
        <x:v>強的可怕</x:v>
      </x:c>
      <x:c r="D223" s="42" t="n">
        <x:v>327.5</x:v>
      </x:c>
      <x:c r="E223" s="41" t="b">
        <x:v>1</x:v>
      </x:c>
      <x:c r="F223" s="39" t="str">
        <x:v>260912</x:v>
      </x:c>
      <x:c r="G223" s="43" t="n">
        <x:v>2</x:v>
      </x:c>
      <x:c r="H223" s="39" t="str">
        <x:v>VALID</x:v>
      </x:c>
    </x:row>
    <x:row r="224">
      <x:c r="A224" s="39" t="str">
        <x:v>2026-09-12</x:v>
      </x:c>
      <x:c r="B224" s="43" t="n">
        <x:v>1</x:v>
      </x:c>
      <x:c r="C224" s="39" t="str">
        <x:v>KK之王</x:v>
      </x:c>
      <x:c r="D224" s="42" t="n">
        <x:v>-55</x:v>
      </x:c>
      <x:c r="E224" s="41" t="b">
        <x:v>1</x:v>
      </x:c>
      <x:c r="F224" s="39" t="str">
        <x:v>260912</x:v>
      </x:c>
      <x:c r="G224" s="43" t="n">
        <x:v>2</x:v>
      </x:c>
      <x:c r="H224" s="39" t="str">
        <x:v>VALID</x:v>
      </x:c>
    </x:row>
    <x:row r="225">
      <x:c r="A225" s="39" t="str">
        <x:v>2026-09-12</x:v>
      </x:c>
      <x:c r="B225" s="43" t="n">
        <x:v>1</x:v>
      </x:c>
      <x:c r="C225" s="39" t="str">
        <x:v>大舅哥</x:v>
      </x:c>
      <x:c r="D225" s="42" t="n">
        <x:v>35</x:v>
      </x:c>
      <x:c r="E225" s="41" t="b">
        <x:v>1</x:v>
      </x:c>
      <x:c r="F225" s="39" t="str">
        <x:v>260912</x:v>
      </x:c>
      <x:c r="G225" s="43" t="n">
        <x:v>2</x:v>
      </x:c>
      <x:c r="H225" s="39" t="str">
        <x:v>VALID</x:v>
      </x:c>
    </x:row>
    <x:row r="226">
      <x:c r="A226" s="39" t="str">
        <x:v>2026-09-12</x:v>
      </x:c>
      <x:c r="B226" s="43" t="n">
        <x:v>1</x:v>
      </x:c>
      <x:c r="C226" s="39" t="str">
        <x:v>z隕石毀滅者</x:v>
      </x:c>
      <x:c r="D226" s="42" t="n">
        <x:v>-57.5</x:v>
      </x:c>
      <x:c r="E226" s="41" t="b">
        <x:v>1</x:v>
      </x:c>
      <x:c r="F226" s="39" t="str">
        <x:v>260912</x:v>
      </x:c>
      <x:c r="G226" s="43" t="n">
        <x:v>2</x:v>
      </x:c>
      <x:c r="H226" s="39" t="str">
        <x:v>VALID</x:v>
      </x:c>
    </x:row>
    <x:row r="227">
      <x:c r="A227" s="39" t="str">
        <x:v>2026-09-12</x:v>
      </x:c>
      <x:c r="B227" s="43" t="n">
        <x:v>1</x:v>
      </x:c>
      <x:c r="C227" s="39" t="str">
        <x:v>中</x:v>
      </x:c>
      <x:c r="D227" s="42" t="n">
        <x:v>-250</x:v>
      </x:c>
      <x:c r="E227" s="41" t="b">
        <x:v>1</x:v>
      </x:c>
      <x:c r="F227" s="39" t="str">
        <x:v>260912</x:v>
      </x:c>
      <x:c r="G227" s="43" t="n">
        <x:v>2</x:v>
      </x:c>
      <x:c r="H227" s="39" t="str">
        <x:v>VALID</x:v>
      </x:c>
    </x:row>
    <x:row r="228">
      <x:c r="A228" s="39" t="str">
        <x:v>2026-09-12</x:v>
      </x:c>
      <x:c r="B228" s="43" t="n">
        <x:v>2</x:v>
      </x:c>
      <x:c r="C228" s="39" t="str">
        <x:v>強的可怕</x:v>
      </x:c>
      <x:c r="D228" s="42" t="n">
        <x:v>-250</x:v>
      </x:c>
      <x:c r="E228" s="41" t="b">
        <x:v>1</x:v>
      </x:c>
      <x:c r="F228" s="39" t="str">
        <x:v>260912</x:v>
      </x:c>
      <x:c r="G228" s="43" t="n">
        <x:v>3</x:v>
      </x:c>
      <x:c r="H228" s="39" t="str">
        <x:v>VALID</x:v>
      </x:c>
    </x:row>
    <x:row r="229">
      <x:c r="A229" s="39" t="str">
        <x:v>2026-09-12</x:v>
      </x:c>
      <x:c r="B229" s="43" t="n">
        <x:v>2</x:v>
      </x:c>
      <x:c r="C229" s="39" t="str">
        <x:v>KK之王</x:v>
      </x:c>
      <x:c r="D229" s="42" t="n">
        <x:v>-5</x:v>
      </x:c>
      <x:c r="E229" s="41" t="b">
        <x:v>1</x:v>
      </x:c>
      <x:c r="F229" s="39" t="str">
        <x:v>260912</x:v>
      </x:c>
      <x:c r="G229" s="43" t="n">
        <x:v>3</x:v>
      </x:c>
      <x:c r="H229" s="39" t="str">
        <x:v>VALID</x:v>
      </x:c>
    </x:row>
    <x:row r="230">
      <x:c r="A230" s="39" t="str">
        <x:v>2026-09-12</x:v>
      </x:c>
      <x:c r="B230" s="43" t="n">
        <x:v>2</x:v>
      </x:c>
      <x:c r="C230" s="39" t="str">
        <x:v>淡水金城武</x:v>
      </x:c>
      <x:c r="D230" s="42" t="n">
        <x:v>37.5</x:v>
      </x:c>
      <x:c r="E230" s="41" t="b">
        <x:v>1</x:v>
      </x:c>
      <x:c r="F230" s="39" t="str">
        <x:v>260912</x:v>
      </x:c>
      <x:c r="G230" s="43" t="n">
        <x:v>3</x:v>
      </x:c>
      <x:c r="H230" s="39" t="str">
        <x:v>VALID</x:v>
      </x:c>
    </x:row>
    <x:row r="231">
      <x:c r="A231" s="39" t="str">
        <x:v>2026-09-12</x:v>
      </x:c>
      <x:c r="B231" s="43" t="n">
        <x:v>2</x:v>
      </x:c>
      <x:c r="C231" s="39" t="str">
        <x:v>大舅哥</x:v>
      </x:c>
      <x:c r="D231" s="42" t="n">
        <x:v>10</x:v>
      </x:c>
      <x:c r="E231" s="41" t="b">
        <x:v>1</x:v>
      </x:c>
      <x:c r="F231" s="39" t="str">
        <x:v>260912</x:v>
      </x:c>
      <x:c r="G231" s="43" t="n">
        <x:v>3</x:v>
      </x:c>
      <x:c r="H231" s="39" t="str">
        <x:v>VALID</x:v>
      </x:c>
    </x:row>
    <x:row r="232">
      <x:c r="A232" s="39" t="str">
        <x:v>2026-09-12</x:v>
      </x:c>
      <x:c r="B232" s="43" t="n">
        <x:v>2</x:v>
      </x:c>
      <x:c r="C232" s="39" t="str">
        <x:v>z隕石毀滅者</x:v>
      </x:c>
      <x:c r="D232" s="42" t="n">
        <x:v>-45</x:v>
      </x:c>
      <x:c r="E232" s="41" t="b">
        <x:v>1</x:v>
      </x:c>
      <x:c r="F232" s="39" t="str">
        <x:v>260912</x:v>
      </x:c>
      <x:c r="G232" s="43" t="n">
        <x:v>3</x:v>
      </x:c>
      <x:c r="H232" s="39" t="str">
        <x:v>VALID</x:v>
      </x:c>
    </x:row>
    <x:row r="233">
      <x:c r="A233" s="39" t="str">
        <x:v>2026-09-12</x:v>
      </x:c>
      <x:c r="B233" s="43" t="n">
        <x:v>2</x:v>
      </x:c>
      <x:c r="C233" s="39" t="str">
        <x:v>中</x:v>
      </x:c>
      <x:c r="D233" s="42" t="n">
        <x:v>105</x:v>
      </x:c>
      <x:c r="E233" s="41" t="b">
        <x:v>1</x:v>
      </x:c>
      <x:c r="F233" s="39" t="str">
        <x:v>260912</x:v>
      </x:c>
      <x:c r="G233" s="43" t="n">
        <x:v>3</x:v>
      </x:c>
      <x:c r="H233" s="39" t="str">
        <x:v>VALID</x:v>
      </x:c>
    </x:row>
    <x:row r="234">
      <x:c r="A234" s="39" t="str">
        <x:v>2026-09-12</x:v>
      </x:c>
      <x:c r="B234" s="43" t="n">
        <x:v>2</x:v>
      </x:c>
      <x:c r="C234" s="39" t="str">
        <x:v>我是你爸</x:v>
      </x:c>
      <x:c r="D234" s="42" t="n">
        <x:v>147.5</x:v>
      </x:c>
      <x:c r="E234" s="41" t="b">
        <x:v>1</x:v>
      </x:c>
      <x:c r="F234" s="39" t="str">
        <x:v>260912</x:v>
      </x:c>
      <x:c r="G234" s="43" t="n">
        <x:v>3</x:v>
      </x:c>
      <x:c r="H234" s="39" t="str">
        <x:v>VALID</x:v>
      </x:c>
    </x:row>
    <x:row r="235">
      <x:c r="A235" s="39" t="str">
        <x:v>2026-09-12</x:v>
      </x:c>
      <x:c r="B235" s="43" t="n">
        <x:v>3</x:v>
      </x:c>
      <x:c r="C235" s="39" t="str">
        <x:v>強的可怕</x:v>
      </x:c>
      <x:c r="D235" s="42" t="n">
        <x:v>-250</x:v>
      </x:c>
      <x:c r="E235" s="41" t="b">
        <x:v>1</x:v>
      </x:c>
      <x:c r="F235" s="39" t="str">
        <x:v>260912</x:v>
      </x:c>
      <x:c r="G235" s="43" t="n">
        <x:v>4</x:v>
      </x:c>
      <x:c r="H235" s="39" t="str">
        <x:v>VALID</x:v>
      </x:c>
    </x:row>
    <x:row r="236">
      <x:c r="A236" s="39" t="str">
        <x:v>2026-09-12</x:v>
      </x:c>
      <x:c r="B236" s="43" t="n">
        <x:v>3</x:v>
      </x:c>
      <x:c r="C236" s="39" t="str">
        <x:v>KK之王</x:v>
      </x:c>
      <x:c r="D236" s="42" t="n">
        <x:v>77.5</x:v>
      </x:c>
      <x:c r="E236" s="41" t="b">
        <x:v>1</x:v>
      </x:c>
      <x:c r="F236" s="39" t="str">
        <x:v>260912</x:v>
      </x:c>
      <x:c r="G236" s="43" t="n">
        <x:v>4</x:v>
      </x:c>
      <x:c r="H236" s="39" t="str">
        <x:v>VALID</x:v>
      </x:c>
    </x:row>
    <x:row r="237">
      <x:c r="A237" s="39" t="str">
        <x:v>2026-09-12</x:v>
      </x:c>
      <x:c r="B237" s="43" t="n">
        <x:v>3</x:v>
      </x:c>
      <x:c r="C237" s="39" t="str">
        <x:v>淡水金城武</x:v>
      </x:c>
      <x:c r="D237" s="42" t="n">
        <x:v>-22.5</x:v>
      </x:c>
      <x:c r="E237" s="41" t="b">
        <x:v>1</x:v>
      </x:c>
      <x:c r="F237" s="39" t="str">
        <x:v>260912</x:v>
      </x:c>
      <x:c r="G237" s="43" t="n">
        <x:v>4</x:v>
      </x:c>
      <x:c r="H237" s="39" t="str">
        <x:v>VALID</x:v>
      </x:c>
    </x:row>
    <x:row r="238">
      <x:c r="A238" s="39" t="str">
        <x:v>2026-09-12</x:v>
      </x:c>
      <x:c r="B238" s="43" t="n">
        <x:v>3</x:v>
      </x:c>
      <x:c r="C238" s="39" t="str">
        <x:v>大舅哥</x:v>
      </x:c>
      <x:c r="D238" s="42" t="n">
        <x:v>470</x:v>
      </x:c>
      <x:c r="E238" s="41" t="b">
        <x:v>1</x:v>
      </x:c>
      <x:c r="F238" s="39" t="str">
        <x:v>260912</x:v>
      </x:c>
      <x:c r="G238" s="43" t="n">
        <x:v>4</x:v>
      </x:c>
      <x:c r="H238" s="39" t="str">
        <x:v>VALID</x:v>
      </x:c>
    </x:row>
    <x:row r="239">
      <x:c r="A239" s="39" t="str">
        <x:v>2026-09-12</x:v>
      </x:c>
      <x:c r="B239" s="43" t="n">
        <x:v>3</x:v>
      </x:c>
      <x:c r="C239" s="39" t="str">
        <x:v>z隕石毀滅者</x:v>
      </x:c>
      <x:c r="D239" s="42" t="n">
        <x:v>-42.5</x:v>
      </x:c>
      <x:c r="E239" s="41" t="b">
        <x:v>1</x:v>
      </x:c>
      <x:c r="F239" s="39" t="str">
        <x:v>260912</x:v>
      </x:c>
      <x:c r="G239" s="43" t="n">
        <x:v>4</x:v>
      </x:c>
      <x:c r="H239" s="39" t="str">
        <x:v>VALID</x:v>
      </x:c>
    </x:row>
    <x:row r="240">
      <x:c r="A240" s="39" t="str">
        <x:v>2026-09-12</x:v>
      </x:c>
      <x:c r="B240" s="43" t="n">
        <x:v>3</x:v>
      </x:c>
      <x:c r="C240" s="39" t="str">
        <x:v>中</x:v>
      </x:c>
      <x:c r="D240" s="42" t="n">
        <x:v>17.5</x:v>
      </x:c>
      <x:c r="E240" s="41" t="b">
        <x:v>1</x:v>
      </x:c>
      <x:c r="F240" s="39" t="str">
        <x:v>260912</x:v>
      </x:c>
      <x:c r="G240" s="43" t="n">
        <x:v>4</x:v>
      </x:c>
      <x:c r="H240" s="39" t="str">
        <x:v>VALID</x:v>
      </x:c>
    </x:row>
    <x:row r="241">
      <x:c r="A241" s="39" t="str">
        <x:v>2026-09-12</x:v>
      </x:c>
      <x:c r="B241" s="43" t="n">
        <x:v>3</x:v>
      </x:c>
      <x:c r="C241" s="39" t="str">
        <x:v>我是你爸</x:v>
      </x:c>
      <x:c r="D241" s="42" t="n">
        <x:v>-250</x:v>
      </x:c>
      <x:c r="E241" s="41" t="b">
        <x:v>1</x:v>
      </x:c>
      <x:c r="F241" s="39" t="str">
        <x:v>260912</x:v>
      </x:c>
      <x:c r="G241" s="43" t="n">
        <x:v>4</x:v>
      </x:c>
      <x:c r="H241" s="39" t="str">
        <x:v>VALID</x:v>
      </x:c>
    </x:row>
    <x:row r="242">
      <x:c r="A242" s="39" t="str">
        <x:v>2026-09-12</x:v>
      </x:c>
      <x:c r="B242" s="43" t="n">
        <x:v>4</x:v>
      </x:c>
      <x:c r="C242" s="39" t="str">
        <x:v>強的可怕</x:v>
      </x:c>
      <x:c r="D242" s="42" t="n">
        <x:v>-65</x:v>
      </x:c>
      <x:c r="E242" s="41" t="b">
        <x:v>1</x:v>
      </x:c>
      <x:c r="F242" s="39" t="str">
        <x:v>260912</x:v>
      </x:c>
      <x:c r="G242" s="43" t="n">
        <x:v>5</x:v>
      </x:c>
      <x:c r="H242" s="39" t="str">
        <x:v>VALID</x:v>
      </x:c>
    </x:row>
    <x:row r="243">
      <x:c r="A243" s="39" t="str">
        <x:v>2026-09-12</x:v>
      </x:c>
      <x:c r="B243" s="43" t="n">
        <x:v>4</x:v>
      </x:c>
      <x:c r="C243" s="39" t="str">
        <x:v>KK之王</x:v>
      </x:c>
      <x:c r="D243" s="42" t="n">
        <x:v>-102.5</x:v>
      </x:c>
      <x:c r="E243" s="41" t="b">
        <x:v>1</x:v>
      </x:c>
      <x:c r="F243" s="39" t="str">
        <x:v>260912</x:v>
      </x:c>
      <x:c r="G243" s="43" t="n">
        <x:v>5</x:v>
      </x:c>
      <x:c r="H243" s="39" t="str">
        <x:v>VALID</x:v>
      </x:c>
    </x:row>
    <x:row r="244">
      <x:c r="A244" s="39" t="str">
        <x:v>2026-09-12</x:v>
      </x:c>
      <x:c r="B244" s="43" t="n">
        <x:v>4</x:v>
      </x:c>
      <x:c r="C244" s="39" t="str">
        <x:v>淡水金城武</x:v>
      </x:c>
      <x:c r="D244" s="42" t="n">
        <x:v>42.5</x:v>
      </x:c>
      <x:c r="E244" s="41" t="b">
        <x:v>1</x:v>
      </x:c>
      <x:c r="F244" s="39" t="str">
        <x:v>260912</x:v>
      </x:c>
      <x:c r="G244" s="43" t="n">
        <x:v>5</x:v>
      </x:c>
      <x:c r="H244" s="39" t="str">
        <x:v>VALID</x:v>
      </x:c>
    </x:row>
    <x:row r="245">
      <x:c r="A245" s="39" t="str">
        <x:v>2026-09-12</x:v>
      </x:c>
      <x:c r="B245" s="43" t="n">
        <x:v>4</x:v>
      </x:c>
      <x:c r="C245" s="39" t="str">
        <x:v>大舅哥</x:v>
      </x:c>
      <x:c r="D245" s="42" t="n">
        <x:v>-250</x:v>
      </x:c>
      <x:c r="E245" s="41" t="b">
        <x:v>1</x:v>
      </x:c>
      <x:c r="F245" s="39" t="str">
        <x:v>260912</x:v>
      </x:c>
      <x:c r="G245" s="43" t="n">
        <x:v>5</x:v>
      </x:c>
      <x:c r="H245" s="39" t="str">
        <x:v>VALID</x:v>
      </x:c>
    </x:row>
    <x:row r="246">
      <x:c r="A246" s="39" t="str">
        <x:v>2026-09-12</x:v>
      </x:c>
      <x:c r="B246" s="43" t="n">
        <x:v>4</x:v>
      </x:c>
      <x:c r="C246" s="39" t="str">
        <x:v>z隕石毀滅者</x:v>
      </x:c>
      <x:c r="D246" s="42" t="n">
        <x:v>30</x:v>
      </x:c>
      <x:c r="E246" s="41" t="b">
        <x:v>1</x:v>
      </x:c>
      <x:c r="F246" s="39" t="str">
        <x:v>260912</x:v>
      </x:c>
      <x:c r="G246" s="43" t="n">
        <x:v>5</x:v>
      </x:c>
      <x:c r="H246" s="39" t="str">
        <x:v>VALID</x:v>
      </x:c>
    </x:row>
    <x:row r="247">
      <x:c r="A247" s="39" t="str">
        <x:v>2026-09-12</x:v>
      </x:c>
      <x:c r="B247" s="43" t="n">
        <x:v>4</x:v>
      </x:c>
      <x:c r="C247" s="39" t="str">
        <x:v>中</x:v>
      </x:c>
      <x:c r="D247" s="42" t="n">
        <x:v>160</x:v>
      </x:c>
      <x:c r="E247" s="41" t="b">
        <x:v>1</x:v>
      </x:c>
      <x:c r="F247" s="39" t="str">
        <x:v>260912</x:v>
      </x:c>
      <x:c r="G247" s="43" t="n">
        <x:v>5</x:v>
      </x:c>
      <x:c r="H247" s="39" t="str">
        <x:v>VALID</x:v>
      </x:c>
    </x:row>
    <x:row r="248">
      <x:c r="A248" s="39" t="str">
        <x:v>2026-09-12</x:v>
      </x:c>
      <x:c r="B248" s="43" t="n">
        <x:v>4</x:v>
      </x:c>
      <x:c r="C248" s="39" t="str">
        <x:v>我是你爸</x:v>
      </x:c>
      <x:c r="D248" s="42" t="n">
        <x:v>185</x:v>
      </x:c>
      <x:c r="E248" s="41" t="b">
        <x:v>1</x:v>
      </x:c>
      <x:c r="F248" s="39" t="str">
        <x:v>260912</x:v>
      </x:c>
      <x:c r="G248" s="43" t="n">
        <x:v>5</x:v>
      </x:c>
      <x:c r="H248" s="39" t="str">
        <x:v>VALID</x:v>
      </x:c>
    </x:row>
    <x:row r="249">
      <x:c r="A249" s="39" t="str">
        <x:v>2026-09-12</x:v>
      </x:c>
      <x:c r="B249" s="43" t="n">
        <x:v>5</x:v>
      </x:c>
      <x:c r="C249" s="39" t="str">
        <x:v>強的可怕</x:v>
      </x:c>
      <x:c r="D249" s="42" t="n">
        <x:v>160</x:v>
      </x:c>
      <x:c r="E249" s="41" t="b">
        <x:v>1</x:v>
      </x:c>
      <x:c r="F249" s="39" t="str">
        <x:v>260912</x:v>
      </x:c>
      <x:c r="G249" s="43" t="n">
        <x:v>6</x:v>
      </x:c>
      <x:c r="H249" s="39" t="str">
        <x:v>VALID</x:v>
      </x:c>
    </x:row>
    <x:row r="250">
      <x:c r="A250" s="39" t="str">
        <x:v>2026-09-12</x:v>
      </x:c>
      <x:c r="B250" s="43" t="n">
        <x:v>5</x:v>
      </x:c>
      <x:c r="C250" s="39" t="str">
        <x:v>KK之王</x:v>
      </x:c>
      <x:c r="D250" s="42" t="n">
        <x:v>-5</x:v>
      </x:c>
      <x:c r="E250" s="41" t="b">
        <x:v>1</x:v>
      </x:c>
      <x:c r="F250" s="39" t="str">
        <x:v>260912</x:v>
      </x:c>
      <x:c r="G250" s="43" t="n">
        <x:v>6</x:v>
      </x:c>
      <x:c r="H250" s="39" t="str">
        <x:v>VALID</x:v>
      </x:c>
    </x:row>
    <x:row r="251">
      <x:c r="A251" s="39" t="str">
        <x:v>2026-09-12</x:v>
      </x:c>
      <x:c r="B251" s="43" t="n">
        <x:v>5</x:v>
      </x:c>
      <x:c r="C251" s="39" t="str">
        <x:v>淡水金城武</x:v>
      </x:c>
      <x:c r="D251" s="42" t="n">
        <x:v>-250</x:v>
      </x:c>
      <x:c r="E251" s="41" t="b">
        <x:v>1</x:v>
      </x:c>
      <x:c r="F251" s="39" t="str">
        <x:v>260912</x:v>
      </x:c>
      <x:c r="G251" s="43" t="n">
        <x:v>6</x:v>
      </x:c>
      <x:c r="H251" s="39" t="str">
        <x:v>VALID</x:v>
      </x:c>
    </x:row>
    <x:row r="252">
      <x:c r="A252" s="39" t="str">
        <x:v>2026-09-12</x:v>
      </x:c>
      <x:c r="B252" s="43" t="n">
        <x:v>5</x:v>
      </x:c>
      <x:c r="C252" s="39" t="str">
        <x:v>z隕石毀滅者</x:v>
      </x:c>
      <x:c r="D252" s="42" t="n">
        <x:v>215</x:v>
      </x:c>
      <x:c r="E252" s="41" t="b">
        <x:v>1</x:v>
      </x:c>
      <x:c r="F252" s="39" t="str">
        <x:v>260912</x:v>
      </x:c>
      <x:c r="G252" s="43" t="n">
        <x:v>6</x:v>
      </x:c>
      <x:c r="H252" s="39" t="str">
        <x:v>VALID</x:v>
      </x:c>
    </x:row>
    <x:row r="253">
      <x:c r="A253" s="39" t="str">
        <x:v>2026-09-12</x:v>
      </x:c>
      <x:c r="B253" s="43" t="n">
        <x:v>5</x:v>
      </x:c>
      <x:c r="C253" s="39" t="str">
        <x:v>中</x:v>
      </x:c>
      <x:c r="D253" s="42" t="n">
        <x:v>-10</x:v>
      </x:c>
      <x:c r="E253" s="41" t="b">
        <x:v>1</x:v>
      </x:c>
      <x:c r="F253" s="39" t="str">
        <x:v>260912</x:v>
      </x:c>
      <x:c r="G253" s="43" t="n">
        <x:v>6</x:v>
      </x:c>
      <x:c r="H253" s="39" t="str">
        <x:v>VALID</x:v>
      </x:c>
    </x:row>
    <x:row r="254">
      <x:c r="A254" s="39" t="str">
        <x:v>2026-09-12</x:v>
      </x:c>
      <x:c r="B254" s="43" t="n">
        <x:v>5</x:v>
      </x:c>
      <x:c r="C254" s="39" t="str">
        <x:v>我是你爸</x:v>
      </x:c>
      <x:c r="D254" s="42" t="n">
        <x:v>-110</x:v>
      </x:c>
      <x:c r="E254" s="41" t="b">
        <x:v>1</x:v>
      </x:c>
      <x:c r="F254" s="39" t="str">
        <x:v>260912</x:v>
      </x:c>
      <x:c r="G254" s="43" t="n">
        <x:v>6</x:v>
      </x:c>
      <x:c r="H254" s="39" t="str">
        <x:v>VALID</x:v>
      </x:c>
    </x:row>
    <x:row r="255">
      <x:c r="A255" s="39" t="str">
        <x:v>2026-09-12</x:v>
      </x:c>
      <x:c r="B255" s="43" t="n">
        <x:v>6</x:v>
      </x:c>
      <x:c r="C255" s="39" t="str">
        <x:v>強的可怕</x:v>
      </x:c>
      <x:c r="D255" s="42" t="n">
        <x:v>-10</x:v>
      </x:c>
      <x:c r="E255" s="41" t="b">
        <x:v>1</x:v>
      </x:c>
      <x:c r="F255" s="39" t="str">
        <x:v>260912</x:v>
      </x:c>
      <x:c r="G255" s="43" t="n">
        <x:v>7</x:v>
      </x:c>
      <x:c r="H255" s="39" t="str">
        <x:v>VALID</x:v>
      </x:c>
    </x:row>
    <x:row r="256">
      <x:c r="A256" s="39" t="str">
        <x:v>2026-09-12</x:v>
      </x:c>
      <x:c r="B256" s="43" t="n">
        <x:v>6</x:v>
      </x:c>
      <x:c r="C256" s="39" t="str">
        <x:v>KK之王</x:v>
      </x:c>
      <x:c r="D256" s="42" t="n">
        <x:v>420</x:v>
      </x:c>
      <x:c r="E256" s="41" t="b">
        <x:v>1</x:v>
      </x:c>
      <x:c r="F256" s="39" t="str">
        <x:v>260912</x:v>
      </x:c>
      <x:c r="G256" s="43" t="n">
        <x:v>7</x:v>
      </x:c>
      <x:c r="H256" s="39" t="str">
        <x:v>VALID</x:v>
      </x:c>
    </x:row>
    <x:row r="257">
      <x:c r="A257" s="39" t="str">
        <x:v>2026-09-12</x:v>
      </x:c>
      <x:c r="B257" s="43" t="n">
        <x:v>6</x:v>
      </x:c>
      <x:c r="C257" s="39" t="str">
        <x:v>淡水金城武</x:v>
      </x:c>
      <x:c r="D257" s="42" t="n">
        <x:v>-250</x:v>
      </x:c>
      <x:c r="E257" s="41" t="b">
        <x:v>1</x:v>
      </x:c>
      <x:c r="F257" s="39" t="str">
        <x:v>260912</x:v>
      </x:c>
      <x:c r="G257" s="43" t="n">
        <x:v>7</x:v>
      </x:c>
      <x:c r="H257" s="39" t="str">
        <x:v>VALID</x:v>
      </x:c>
    </x:row>
    <x:row r="258">
      <x:c r="A258" s="39" t="str">
        <x:v>2026-09-12</x:v>
      </x:c>
      <x:c r="B258" s="43" t="n">
        <x:v>6</x:v>
      </x:c>
      <x:c r="C258" s="39" t="str">
        <x:v>大舅哥</x:v>
      </x:c>
      <x:c r="D258" s="42" t="n">
        <x:v>-85</x:v>
      </x:c>
      <x:c r="E258" s="41" t="b">
        <x:v>1</x:v>
      </x:c>
      <x:c r="F258" s="39" t="str">
        <x:v>260912</x:v>
      </x:c>
      <x:c r="G258" s="43" t="n">
        <x:v>7</x:v>
      </x:c>
      <x:c r="H258" s="39" t="str">
        <x:v>VALID</x:v>
      </x:c>
    </x:row>
    <x:row r="259">
      <x:c r="A259" s="39" t="str">
        <x:v>2026-09-12</x:v>
      </x:c>
      <x:c r="B259" s="43" t="n">
        <x:v>6</x:v>
      </x:c>
      <x:c r="C259" s="39" t="str">
        <x:v>z隕石毀滅者</x:v>
      </x:c>
      <x:c r="D259" s="42" t="n">
        <x:v>60</x:v>
      </x:c>
      <x:c r="E259" s="41" t="b">
        <x:v>1</x:v>
      </x:c>
      <x:c r="F259" s="39" t="str">
        <x:v>260912</x:v>
      </x:c>
      <x:c r="G259" s="43" t="n">
        <x:v>7</x:v>
      </x:c>
      <x:c r="H259" s="39" t="str">
        <x:v>VALID</x:v>
      </x:c>
    </x:row>
    <x:row r="260">
      <x:c r="A260" s="39" t="str">
        <x:v>2026-09-12</x:v>
      </x:c>
      <x:c r="B260" s="43" t="n">
        <x:v>6</x:v>
      </x:c>
      <x:c r="C260" s="39" t="str">
        <x:v>中</x:v>
      </x:c>
      <x:c r="D260" s="42" t="n">
        <x:v>-92.5</x:v>
      </x:c>
      <x:c r="E260" s="41" t="b">
        <x:v>1</x:v>
      </x:c>
      <x:c r="F260" s="39" t="str">
        <x:v>260912</x:v>
      </x:c>
      <x:c r="G260" s="43" t="n">
        <x:v>7</x:v>
      </x:c>
      <x:c r="H260" s="39" t="str">
        <x:v>VALID</x:v>
      </x:c>
    </x:row>
    <x:row r="261">
      <x:c r="A261" s="39" t="str">
        <x:v>2026-09-12</x:v>
      </x:c>
      <x:c r="B261" s="43" t="n">
        <x:v>6</x:v>
      </x:c>
      <x:c r="C261" s="39" t="str">
        <x:v>我是你爸</x:v>
      </x:c>
      <x:c r="D261" s="42" t="n">
        <x:v>-42.5</x:v>
      </x:c>
      <x:c r="E261" s="41" t="b">
        <x:v>1</x:v>
      </x:c>
      <x:c r="F261" s="39" t="str">
        <x:v>260912</x:v>
      </x:c>
      <x:c r="G261" s="43" t="n">
        <x:v>7</x:v>
      </x:c>
      <x:c r="H261" s="39" t="str">
        <x:v>VALID</x:v>
      </x:c>
    </x:row>
    <x:row r="262">
      <x:c r="A262" s="39" t="str">
        <x:v>2026-09-12</x:v>
      </x:c>
      <x:c r="B262" s="43" t="n">
        <x:v>7</x:v>
      </x:c>
      <x:c r="C262" s="39" t="str">
        <x:v>強的可怕</x:v>
      </x:c>
      <x:c r="D262" s="42" t="n">
        <x:v>105</x:v>
      </x:c>
      <x:c r="E262" s="41" t="b">
        <x:v>1</x:v>
      </x:c>
      <x:c r="F262" s="39" t="str">
        <x:v>260912</x:v>
      </x:c>
      <x:c r="G262" s="43" t="n">
        <x:v>8</x:v>
      </x:c>
      <x:c r="H262" s="39" t="str">
        <x:v>VALID</x:v>
      </x:c>
    </x:row>
    <x:row r="263">
      <x:c r="A263" s="39" t="str">
        <x:v>2026-09-12</x:v>
      </x:c>
      <x:c r="B263" s="43" t="n">
        <x:v>7</x:v>
      </x:c>
      <x:c r="C263" s="39" t="str">
        <x:v>KK之王</x:v>
      </x:c>
      <x:c r="D263" s="42" t="n">
        <x:v>232.5</x:v>
      </x:c>
      <x:c r="E263" s="41" t="b">
        <x:v>1</x:v>
      </x:c>
      <x:c r="F263" s="39" t="str">
        <x:v>260912</x:v>
      </x:c>
      <x:c r="G263" s="43" t="n">
        <x:v>8</x:v>
      </x:c>
      <x:c r="H263" s="39" t="str">
        <x:v>VALID</x:v>
      </x:c>
    </x:row>
    <x:row r="264">
      <x:c r="A264" s="39" t="str">
        <x:v>2026-09-12</x:v>
      </x:c>
      <x:c r="B264" s="43" t="n">
        <x:v>7</x:v>
      </x:c>
      <x:c r="C264" s="39" t="str">
        <x:v>淡水金城武</x:v>
      </x:c>
      <x:c r="D264" s="42" t="n">
        <x:v>-32.5</x:v>
      </x:c>
      <x:c r="E264" s="41" t="b">
        <x:v>1</x:v>
      </x:c>
      <x:c r="F264" s="39" t="str">
        <x:v>260912</x:v>
      </x:c>
      <x:c r="G264" s="43" t="n">
        <x:v>8</x:v>
      </x:c>
      <x:c r="H264" s="39" t="str">
        <x:v>VALID</x:v>
      </x:c>
    </x:row>
    <x:row r="265">
      <x:c r="A265" s="39" t="str">
        <x:v>2026-09-12</x:v>
      </x:c>
      <x:c r="B265" s="43" t="n">
        <x:v>7</x:v>
      </x:c>
      <x:c r="C265" s="39" t="str">
        <x:v>大舅哥</x:v>
      </x:c>
      <x:c r="D265" s="42" t="n">
        <x:v>-112.5</x:v>
      </x:c>
      <x:c r="E265" s="41" t="b">
        <x:v>1</x:v>
      </x:c>
      <x:c r="F265" s="39" t="str">
        <x:v>260912</x:v>
      </x:c>
      <x:c r="G265" s="43" t="n">
        <x:v>8</x:v>
      </x:c>
      <x:c r="H265" s="39" t="str">
        <x:v>VALID</x:v>
      </x:c>
    </x:row>
    <x:row r="266">
      <x:c r="A266" s="39" t="str">
        <x:v>2026-09-12</x:v>
      </x:c>
      <x:c r="B266" s="43" t="n">
        <x:v>7</x:v>
      </x:c>
      <x:c r="C266" s="39" t="str">
        <x:v>z隕石毀滅者</x:v>
      </x:c>
      <x:c r="D266" s="42" t="n">
        <x:v>-250</x:v>
      </x:c>
      <x:c r="E266" s="41" t="b">
        <x:v>1</x:v>
      </x:c>
      <x:c r="F266" s="39" t="str">
        <x:v>260912</x:v>
      </x:c>
      <x:c r="G266" s="43" t="n">
        <x:v>8</x:v>
      </x:c>
      <x:c r="H266" s="39" t="str">
        <x:v>VALID</x:v>
      </x:c>
    </x:row>
    <x:row r="267">
      <x:c r="A267" s="39" t="str">
        <x:v>2026-09-12</x:v>
      </x:c>
      <x:c r="B267" s="43" t="n">
        <x:v>7</x:v>
      </x:c>
      <x:c r="C267" s="39" t="str">
        <x:v>中</x:v>
      </x:c>
      <x:c r="D267" s="42" t="n">
        <x:v>250</x:v>
      </x:c>
      <x:c r="E267" s="41" t="b">
        <x:v>1</x:v>
      </x:c>
      <x:c r="F267" s="39" t="str">
        <x:v>260912</x:v>
      </x:c>
      <x:c r="G267" s="43" t="n">
        <x:v>8</x:v>
      </x:c>
      <x:c r="H267" s="39" t="str">
        <x:v>VALID</x:v>
      </x:c>
    </x:row>
    <x:row r="268">
      <x:c r="A268" s="39" t="str">
        <x:v>2026-09-12</x:v>
      </x:c>
      <x:c r="B268" s="43" t="n">
        <x:v>7</x:v>
      </x:c>
      <x:c r="C268" s="39" t="str">
        <x:v>我是你爸</x:v>
      </x:c>
      <x:c r="D268" s="42" t="n">
        <x:v>-192.5</x:v>
      </x:c>
      <x:c r="E268" s="41" t="b">
        <x:v>1</x:v>
      </x:c>
      <x:c r="F268" s="39" t="str">
        <x:v>260912</x:v>
      </x:c>
      <x:c r="G268" s="43" t="n">
        <x:v>8</x:v>
      </x:c>
      <x:c r="H268" s="39" t="str">
        <x:v>VALID</x:v>
      </x:c>
    </x:row>
    <x:row r="269">
      <x:c r="A269" s="39" t="str">
        <x:v>2026-09-12</x:v>
      </x:c>
      <x:c r="B269" s="43" t="n">
        <x:v>8</x:v>
      </x:c>
      <x:c r="C269" s="39" t="str">
        <x:v>強的可怕</x:v>
      </x:c>
      <x:c r="D269" s="42" t="n">
        <x:v>225</x:v>
      </x:c>
      <x:c r="E269" s="41" t="b">
        <x:v>1</x:v>
      </x:c>
      <x:c r="F269" s="39" t="str">
        <x:v>260912</x:v>
      </x:c>
      <x:c r="G269" s="43" t="n">
        <x:v>9</x:v>
      </x:c>
      <x:c r="H269" s="39" t="str">
        <x:v>VALID</x:v>
      </x:c>
    </x:row>
    <x:row r="270">
      <x:c r="A270" s="39" t="str">
        <x:v>2026-09-12</x:v>
      </x:c>
      <x:c r="B270" s="43" t="n">
        <x:v>8</x:v>
      </x:c>
      <x:c r="C270" s="39" t="str">
        <x:v>KK之王</x:v>
      </x:c>
      <x:c r="D270" s="42" t="n">
        <x:v>30</x:v>
      </x:c>
      <x:c r="E270" s="41" t="b">
        <x:v>1</x:v>
      </x:c>
      <x:c r="F270" s="39" t="str">
        <x:v>260912</x:v>
      </x:c>
      <x:c r="G270" s="43" t="n">
        <x:v>9</x:v>
      </x:c>
      <x:c r="H270" s="39" t="str">
        <x:v>VALID</x:v>
      </x:c>
    </x:row>
    <x:row r="271">
      <x:c r="A271" s="39" t="str">
        <x:v>2026-09-12</x:v>
      </x:c>
      <x:c r="B271" s="43" t="n">
        <x:v>8</x:v>
      </x:c>
      <x:c r="C271" s="39" t="str">
        <x:v>淡水金城武</x:v>
      </x:c>
      <x:c r="D271" s="42" t="n">
        <x:v>-30</x:v>
      </x:c>
      <x:c r="E271" s="41" t="b">
        <x:v>1</x:v>
      </x:c>
      <x:c r="F271" s="39" t="str">
        <x:v>260912</x:v>
      </x:c>
      <x:c r="G271" s="43" t="n">
        <x:v>9</x:v>
      </x:c>
      <x:c r="H271" s="39" t="str">
        <x:v>VALID</x:v>
      </x:c>
    </x:row>
    <x:row r="272">
      <x:c r="A272" s="39" t="str">
        <x:v>2026-09-12</x:v>
      </x:c>
      <x:c r="B272" s="43" t="n">
        <x:v>8</x:v>
      </x:c>
      <x:c r="C272" s="39" t="str">
        <x:v>中</x:v>
      </x:c>
      <x:c r="D272" s="42" t="n">
        <x:v>25</x:v>
      </x:c>
      <x:c r="E272" s="41" t="b">
        <x:v>1</x:v>
      </x:c>
      <x:c r="F272" s="39" t="str">
        <x:v>260912</x:v>
      </x:c>
      <x:c r="G272" s="43" t="n">
        <x:v>9</x:v>
      </x:c>
      <x:c r="H272" s="39" t="str">
        <x:v>VALID</x:v>
      </x:c>
    </x:row>
    <x:row r="273">
      <x:c r="A273" s="39" t="str">
        <x:v>2026-09-12</x:v>
      </x:c>
      <x:c r="B273" s="43" t="n">
        <x:v>8</x:v>
      </x:c>
      <x:c r="C273" s="39" t="str">
        <x:v>我是你爸</x:v>
      </x:c>
      <x:c r="D273" s="42" t="n">
        <x:v>-250</x:v>
      </x:c>
      <x:c r="E273" s="41" t="b">
        <x:v>1</x:v>
      </x:c>
      <x:c r="F273" s="39" t="str">
        <x:v>260912</x:v>
      </x:c>
      <x:c r="G273" s="43" t="n">
        <x:v>9</x:v>
      </x:c>
      <x:c r="H273" s="39" t="str">
        <x:v>VALID</x:v>
      </x:c>
    </x:row>
    <x:row r="274">
      <x:c r="A274" s="39" t="str">
        <x:v>2026-09-12</x:v>
      </x:c>
      <x:c r="B274" s="43" t="n">
        <x:v>9</x:v>
      </x:c>
      <x:c r="C274" s="39" t="str">
        <x:v>強的可怕</x:v>
      </x:c>
      <x:c r="D274" s="42" t="n">
        <x:v>-40</x:v>
      </x:c>
      <x:c r="E274" s="41" t="b">
        <x:v>1</x:v>
      </x:c>
      <x:c r="F274" s="39" t="str">
        <x:v>260912</x:v>
      </x:c>
      <x:c r="G274" s="43" t="n">
        <x:v>10</x:v>
      </x:c>
      <x:c r="H274" s="39" t="str">
        <x:v>VALID</x:v>
      </x:c>
    </x:row>
    <x:row r="275">
      <x:c r="A275" s="39" t="str">
        <x:v>2026-09-12</x:v>
      </x:c>
      <x:c r="B275" s="43" t="n">
        <x:v>9</x:v>
      </x:c>
      <x:c r="C275" s="39" t="str">
        <x:v>KK之王</x:v>
      </x:c>
      <x:c r="D275" s="42" t="n">
        <x:v>-140</x:v>
      </x:c>
      <x:c r="E275" s="41" t="b">
        <x:v>1</x:v>
      </x:c>
      <x:c r="F275" s="39" t="str">
        <x:v>260912</x:v>
      </x:c>
      <x:c r="G275" s="43" t="n">
        <x:v>10</x:v>
      </x:c>
      <x:c r="H275" s="39" t="str">
        <x:v>VALID</x:v>
      </x:c>
    </x:row>
    <x:row r="276">
      <x:c r="A276" s="39" t="str">
        <x:v>2026-09-12</x:v>
      </x:c>
      <x:c r="B276" s="43" t="n">
        <x:v>9</x:v>
      </x:c>
      <x:c r="C276" s="39" t="str">
        <x:v>淡水金城武</x:v>
      </x:c>
      <x:c r="D276" s="42" t="n">
        <x:v>150</x:v>
      </x:c>
      <x:c r="E276" s="41" t="b">
        <x:v>1</x:v>
      </x:c>
      <x:c r="F276" s="39" t="str">
        <x:v>260912</x:v>
      </x:c>
      <x:c r="G276" s="43" t="n">
        <x:v>10</x:v>
      </x:c>
      <x:c r="H276" s="39" t="str">
        <x:v>VALID</x:v>
      </x:c>
    </x:row>
    <x:row r="277">
      <x:c r="A277" s="39" t="str">
        <x:v>2026-09-12</x:v>
      </x:c>
      <x:c r="B277" s="43" t="n">
        <x:v>9</x:v>
      </x:c>
      <x:c r="C277" s="39" t="str">
        <x:v>中</x:v>
      </x:c>
      <x:c r="D277" s="42" t="n">
        <x:v>-55</x:v>
      </x:c>
      <x:c r="E277" s="41" t="b">
        <x:v>1</x:v>
      </x:c>
      <x:c r="F277" s="39" t="str">
        <x:v>260912</x:v>
      </x:c>
      <x:c r="G277" s="43" t="n">
        <x:v>10</x:v>
      </x:c>
      <x:c r="H277" s="39" t="str">
        <x:v>VALID</x:v>
      </x:c>
    </x:row>
    <x:row r="278">
      <x:c r="A278" s="39" t="str">
        <x:v>2026-09-12</x:v>
      </x:c>
      <x:c r="B278" s="43" t="n">
        <x:v>9</x:v>
      </x:c>
      <x:c r="C278" s="39" t="str">
        <x:v>我是你爸</x:v>
      </x:c>
      <x:c r="D278" s="42" t="n">
        <x:v>85</x:v>
      </x:c>
      <x:c r="E278" s="41" t="b">
        <x:v>1</x:v>
      </x:c>
      <x:c r="F278" s="39" t="str">
        <x:v>260912</x:v>
      </x:c>
      <x:c r="G278" s="43" t="n">
        <x:v>10</x:v>
      </x:c>
      <x:c r="H278" s="39" t="str">
        <x:v>VALID</x:v>
      </x:c>
    </x:row>
    <x:row r="279">
      <x:c r="A279" s="39" t="str">
        <x:v>2026-09-12</x:v>
      </x:c>
      <x:c r="B279" s="43" t="n">
        <x:v>10</x:v>
      </x:c>
      <x:c r="C279" s="39" t="str">
        <x:v>強的可怕</x:v>
      </x:c>
      <x:c r="D279" s="42" t="n">
        <x:v>45</x:v>
      </x:c>
      <x:c r="E279" s="41" t="b">
        <x:v>1</x:v>
      </x:c>
      <x:c r="F279" s="39" t="str">
        <x:v>260912</x:v>
      </x:c>
      <x:c r="G279" s="43" t="n">
        <x:v>13</x:v>
      </x:c>
      <x:c r="H279" s="39" t="str">
        <x:v>VALID</x:v>
      </x:c>
    </x:row>
    <x:row r="280">
      <x:c r="A280" s="39" t="str">
        <x:v>2026-09-12</x:v>
      </x:c>
      <x:c r="B280" s="43" t="n">
        <x:v>10</x:v>
      </x:c>
      <x:c r="C280" s="39" t="str">
        <x:v>KK之王</x:v>
      </x:c>
      <x:c r="D280" s="42" t="n">
        <x:v>-45</x:v>
      </x:c>
      <x:c r="E280" s="41" t="b">
        <x:v>1</x:v>
      </x:c>
      <x:c r="F280" s="39" t="str">
        <x:v>260912</x:v>
      </x:c>
      <x:c r="G280" s="43" t="n">
        <x:v>13</x:v>
      </x:c>
      <x:c r="H280" s="39" t="str">
        <x:v>VALID</x:v>
      </x:c>
    </x:row>
    <x:row r="281">
      <x:c r="A281" s="39" t="str">
        <x:v>2026-09-26</x:v>
      </x:c>
      <x:c r="B281" s="43" t="n">
        <x:v>1</x:v>
      </x:c>
      <x:c r="C281" s="39" t="str">
        <x:v>強的可怕</x:v>
      </x:c>
      <x:c r="D281" s="42" t="n">
        <x:v>-100</x:v>
      </x:c>
      <x:c r="E281" s="41" t="b">
        <x:v>1</x:v>
      </x:c>
      <x:c r="F281" s="39" t="str">
        <x:v>260926</x:v>
      </x:c>
      <x:c r="G281" s="43" t="n">
        <x:v>2</x:v>
      </x:c>
      <x:c r="H281" s="39" t="str">
        <x:v>VALID</x:v>
      </x:c>
    </x:row>
    <x:row r="282">
      <x:c r="A282" s="39" t="str">
        <x:v>2026-09-26</x:v>
      </x:c>
      <x:c r="B282" s="43" t="n">
        <x:v>1</x:v>
      </x:c>
      <x:c r="C282" s="39" t="str">
        <x:v>KK之王</x:v>
      </x:c>
      <x:c r="D282" s="42" t="n">
        <x:v>100</x:v>
      </x:c>
      <x:c r="E282" s="41" t="b">
        <x:v>1</x:v>
      </x:c>
      <x:c r="F282" s="39" t="str">
        <x:v>260926</x:v>
      </x:c>
      <x:c r="G282" s="43" t="n">
        <x:v>2</x:v>
      </x:c>
      <x:c r="H282" s="39" t="str">
        <x:v>VALID</x:v>
      </x:c>
    </x:row>
    <x:row r="283">
      <x:c r="A283" s="39" t="str">
        <x:v>2026-09-26</x:v>
      </x:c>
      <x:c r="B283" s="43" t="n">
        <x:v>2</x:v>
      </x:c>
      <x:c r="C283" s="39" t="str">
        <x:v>強的可怕</x:v>
      </x:c>
      <x:c r="D283" s="42" t="n">
        <x:v>200</x:v>
      </x:c>
      <x:c r="E283" s="41" t="b">
        <x:v>1</x:v>
      </x:c>
      <x:c r="F283" s="39" t="str">
        <x:v>260926</x:v>
      </x:c>
      <x:c r="G283" s="43" t="n">
        <x:v>3</x:v>
      </x:c>
      <x:c r="H283" s="39" t="str">
        <x:v>VALID</x:v>
      </x:c>
    </x:row>
    <x:row r="284">
      <x:c r="A284" s="39" t="str">
        <x:v>2026-09-26</x:v>
      </x:c>
      <x:c r="B284" s="43" t="n">
        <x:v>2</x:v>
      </x:c>
      <x:c r="C284" s="39" t="str">
        <x:v>KK之王</x:v>
      </x:c>
      <x:c r="D284" s="42" t="n">
        <x:v>-52.5</x:v>
      </x:c>
      <x:c r="E284" s="41" t="b">
        <x:v>1</x:v>
      </x:c>
      <x:c r="F284" s="39" t="str">
        <x:v>260926</x:v>
      </x:c>
      <x:c r="G284" s="43" t="n">
        <x:v>3</x:v>
      </x:c>
      <x:c r="H284" s="39" t="str">
        <x:v>VALID</x:v>
      </x:c>
    </x:row>
    <x:row r="285">
      <x:c r="A285" s="39" t="str">
        <x:v>2026-09-26</x:v>
      </x:c>
      <x:c r="B285" s="43" t="n">
        <x:v>2</x:v>
      </x:c>
      <x:c r="C285" s="39" t="str">
        <x:v>淡水金城武</x:v>
      </x:c>
      <x:c r="D285" s="42" t="n">
        <x:v>-250</x:v>
      </x:c>
      <x:c r="E285" s="41" t="b">
        <x:v>1</x:v>
      </x:c>
      <x:c r="F285" s="39" t="str">
        <x:v>260926</x:v>
      </x:c>
      <x:c r="G285" s="43" t="n">
        <x:v>3</x:v>
      </x:c>
      <x:c r="H285" s="39" t="str">
        <x:v>VALID</x:v>
      </x:c>
    </x:row>
    <x:row r="286">
      <x:c r="A286" s="39" t="str">
        <x:v>2026-09-26</x:v>
      </x:c>
      <x:c r="B286" s="43" t="n">
        <x:v>2</x:v>
      </x:c>
      <x:c r="C286" s="39" t="str">
        <x:v>葉</x:v>
      </x:c>
      <x:c r="D286" s="42" t="n">
        <x:v>27.5</x:v>
      </x:c>
      <x:c r="E286" s="41" t="b">
        <x:v>1</x:v>
      </x:c>
      <x:c r="F286" s="39" t="str">
        <x:v>260926</x:v>
      </x:c>
      <x:c r="G286" s="43" t="n">
        <x:v>3</x:v>
      </x:c>
      <x:c r="H286" s="39" t="str">
        <x:v>VALID</x:v>
      </x:c>
    </x:row>
    <x:row r="287">
      <x:c r="A287" s="39" t="str">
        <x:v>2026-09-26</x:v>
      </x:c>
      <x:c r="B287" s="43" t="n">
        <x:v>2</x:v>
      </x:c>
      <x:c r="C287" s="39" t="str">
        <x:v>河牌幹死你</x:v>
      </x:c>
      <x:c r="D287" s="42" t="n">
        <x:v>75</x:v>
      </x:c>
      <x:c r="E287" s="41" t="b">
        <x:v>1</x:v>
      </x:c>
      <x:c r="F287" s="39" t="str">
        <x:v>260926</x:v>
      </x:c>
      <x:c r="G287" s="43" t="n">
        <x:v>3</x:v>
      </x:c>
      <x:c r="H287" s="39" t="str">
        <x:v>VALID</x:v>
      </x:c>
    </x:row>
    <x:row r="288">
      <x:c r="A288" s="39" t="str">
        <x:v>2026-09-26</x:v>
      </x:c>
      <x:c r="B288" s="43" t="n">
        <x:v>3</x:v>
      </x:c>
      <x:c r="C288" s="39" t="str">
        <x:v>強的可怕</x:v>
      </x:c>
      <x:c r="D288" s="42" t="n">
        <x:v>-250</x:v>
      </x:c>
      <x:c r="E288" s="41" t="b">
        <x:v>1</x:v>
      </x:c>
      <x:c r="F288" s="39" t="str">
        <x:v>260926</x:v>
      </x:c>
      <x:c r="G288" s="43" t="n">
        <x:v>4</x:v>
      </x:c>
      <x:c r="H288" s="39" t="str">
        <x:v>VALID</x:v>
      </x:c>
    </x:row>
    <x:row r="289">
      <x:c r="A289" s="39" t="str">
        <x:v>2026-09-26</x:v>
      </x:c>
      <x:c r="B289" s="43" t="n">
        <x:v>3</x:v>
      </x:c>
      <x:c r="C289" s="39" t="str">
        <x:v>KK之王</x:v>
      </x:c>
      <x:c r="D289" s="42" t="n">
        <x:v>-227.5</x:v>
      </x:c>
      <x:c r="E289" s="41" t="b">
        <x:v>1</x:v>
      </x:c>
      <x:c r="F289" s="39" t="str">
        <x:v>260926</x:v>
      </x:c>
      <x:c r="G289" s="43" t="n">
        <x:v>4</x:v>
      </x:c>
      <x:c r="H289" s="39" t="str">
        <x:v>VALID</x:v>
      </x:c>
    </x:row>
    <x:row r="290">
      <x:c r="A290" s="39" t="str">
        <x:v>2026-09-26</x:v>
      </x:c>
      <x:c r="B290" s="43" t="n">
        <x:v>3</x:v>
      </x:c>
      <x:c r="C290" s="39" t="str">
        <x:v>淡水金城武</x:v>
      </x:c>
      <x:c r="D290" s="42" t="n">
        <x:v>360.5</x:v>
      </x:c>
      <x:c r="E290" s="41" t="b">
        <x:v>1</x:v>
      </x:c>
      <x:c r="F290" s="39" t="str">
        <x:v>260926</x:v>
      </x:c>
      <x:c r="G290" s="43" t="n">
        <x:v>4</x:v>
      </x:c>
      <x:c r="H290" s="39" t="str">
        <x:v>VALID</x:v>
      </x:c>
    </x:row>
    <x:row r="291">
      <x:c r="A291" s="39" t="str">
        <x:v>2026-09-26</x:v>
      </x:c>
      <x:c r="B291" s="43" t="n">
        <x:v>3</x:v>
      </x:c>
      <x:c r="C291" s="39" t="str">
        <x:v>葉</x:v>
      </x:c>
      <x:c r="D291" s="42" t="n">
        <x:v>92</x:v>
      </x:c>
      <x:c r="E291" s="41" t="b">
        <x:v>1</x:v>
      </x:c>
      <x:c r="F291" s="39" t="str">
        <x:v>260926</x:v>
      </x:c>
      <x:c r="G291" s="43" t="n">
        <x:v>4</x:v>
      </x:c>
      <x:c r="H291" s="39" t="str">
        <x:v>VALID</x:v>
      </x:c>
    </x:row>
    <x:row r="292">
      <x:c r="A292" s="39" t="str">
        <x:v>2026-09-26</x:v>
      </x:c>
      <x:c r="B292" s="43" t="n">
        <x:v>3</x:v>
      </x:c>
      <x:c r="C292" s="39" t="str">
        <x:v>河牌幹死你</x:v>
      </x:c>
      <x:c r="D292" s="42" t="n">
        <x:v>25</x:v>
      </x:c>
      <x:c r="E292" s="41" t="b">
        <x:v>1</x:v>
      </x:c>
      <x:c r="F292" s="39" t="str">
        <x:v>260926</x:v>
      </x:c>
      <x:c r="G292" s="43" t="n">
        <x:v>4</x:v>
      </x:c>
      <x:c r="H292" s="39" t="str">
        <x:v>VALID</x:v>
      </x:c>
    </x:row>
    <x:row r="293">
      <x:c r="A293" s="39" t="str">
        <x:v>2026-09-26</x:v>
      </x:c>
      <x:c r="B293" s="43" t="n">
        <x:v>4</x:v>
      </x:c>
      <x:c r="C293" s="39" t="str">
        <x:v>淡水金城武</x:v>
      </x:c>
      <x:c r="D293" s="42" t="n">
        <x:v>54</x:v>
      </x:c>
      <x:c r="E293" s="41" t="b">
        <x:v>1</x:v>
      </x:c>
      <x:c r="F293" s="39" t="str">
        <x:v>260926</x:v>
      </x:c>
      <x:c r="G293" s="43" t="n">
        <x:v>5</x:v>
      </x:c>
      <x:c r="H293" s="39" t="str">
        <x:v>VALID</x:v>
      </x:c>
    </x:row>
    <x:row r="294">
      <x:c r="A294" s="39" t="str">
        <x:v>2026-09-26</x:v>
      </x:c>
      <x:c r="B294" s="43" t="n">
        <x:v>4</x:v>
      </x:c>
      <x:c r="C294" s="39" t="str">
        <x:v>z隕石毀滅者</x:v>
      </x:c>
      <x:c r="D294" s="42" t="n">
        <x:v>4</x:v>
      </x:c>
      <x:c r="E294" s="41" t="b">
        <x:v>1</x:v>
      </x:c>
      <x:c r="F294" s="39" t="str">
        <x:v>260926</x:v>
      </x:c>
      <x:c r="G294" s="43" t="n">
        <x:v>5</x:v>
      </x:c>
      <x:c r="H294" s="39" t="str">
        <x:v>VALID</x:v>
      </x:c>
    </x:row>
    <x:row r="295">
      <x:c r="A295" s="39" t="str">
        <x:v>2026-09-26</x:v>
      </x:c>
      <x:c r="B295" s="43" t="n">
        <x:v>4</x:v>
      </x:c>
      <x:c r="C295" s="39" t="str">
        <x:v>河牌幹死你</x:v>
      </x:c>
      <x:c r="D295" s="42" t="n">
        <x:v>-58</x:v>
      </x:c>
      <x:c r="E295" s="41" t="b">
        <x:v>1</x:v>
      </x:c>
      <x:c r="F295" s="39" t="str">
        <x:v>260926</x:v>
      </x:c>
      <x:c r="G295" s="43" t="n">
        <x:v>5</x:v>
      </x:c>
      <x:c r="H295" s="39" t="str">
        <x:v>VALID</x:v>
      </x:c>
    </x:row>
    <x:row r="296">
      <x:c r="A296" s="39" t="str">
        <x:v>2026-09-26</x:v>
      </x:c>
      <x:c r="B296" s="43" t="n">
        <x:v>5</x:v>
      </x:c>
      <x:c r="C296" s="39" t="str">
        <x:v>強的可怕</x:v>
      </x:c>
      <x:c r="D296" s="42" t="n">
        <x:v>165</x:v>
      </x:c>
      <x:c r="E296" s="41" t="b">
        <x:v>1</x:v>
      </x:c>
      <x:c r="F296" s="39" t="str">
        <x:v>260926</x:v>
      </x:c>
      <x:c r="G296" s="43" t="n">
        <x:v>6</x:v>
      </x:c>
      <x:c r="H296" s="39" t="str">
        <x:v>VALID</x:v>
      </x:c>
    </x:row>
    <x:row r="297">
      <x:c r="A297" s="39" t="str">
        <x:v>2026-09-26</x:v>
      </x:c>
      <x:c r="B297" s="43" t="n">
        <x:v>5</x:v>
      </x:c>
      <x:c r="C297" s="39" t="str">
        <x:v>KK之王</x:v>
      </x:c>
      <x:c r="D297" s="42" t="n">
        <x:v>5</x:v>
      </x:c>
      <x:c r="E297" s="41" t="b">
        <x:v>1</x:v>
      </x:c>
      <x:c r="F297" s="39" t="str">
        <x:v>260926</x:v>
      </x:c>
      <x:c r="G297" s="43" t="n">
        <x:v>6</x:v>
      </x:c>
      <x:c r="H297" s="39" t="str">
        <x:v>VALID</x:v>
      </x:c>
    </x:row>
    <x:row r="298">
      <x:c r="A298" s="39" t="str">
        <x:v>2026-09-26</x:v>
      </x:c>
      <x:c r="B298" s="43" t="n">
        <x:v>5</x:v>
      </x:c>
      <x:c r="C298" s="39" t="str">
        <x:v>淡水金城武</x:v>
      </x:c>
      <x:c r="D298" s="42" t="n">
        <x:v>-55</x:v>
      </x:c>
      <x:c r="E298" s="41" t="b">
        <x:v>1</x:v>
      </x:c>
      <x:c r="F298" s="39" t="str">
        <x:v>260926</x:v>
      </x:c>
      <x:c r="G298" s="43" t="n">
        <x:v>6</x:v>
      </x:c>
      <x:c r="H298" s="39" t="str">
        <x:v>VALID</x:v>
      </x:c>
    </x:row>
    <x:row r="299">
      <x:c r="A299" s="39" t="str">
        <x:v>2026-09-26</x:v>
      </x:c>
      <x:c r="B299" s="43" t="n">
        <x:v>5</x:v>
      </x:c>
      <x:c r="C299" s="39" t="str">
        <x:v>z隕石毀滅者</x:v>
      </x:c>
      <x:c r="D299" s="42" t="n">
        <x:v>-5</x:v>
      </x:c>
      <x:c r="E299" s="41" t="b">
        <x:v>1</x:v>
      </x:c>
      <x:c r="F299" s="39" t="str">
        <x:v>260926</x:v>
      </x:c>
      <x:c r="G299" s="43" t="n">
        <x:v>6</x:v>
      </x:c>
      <x:c r="H299" s="39" t="str">
        <x:v>VALID</x:v>
      </x:c>
    </x:row>
    <x:row r="300">
      <x:c r="A300" s="39" t="str">
        <x:v>2026-09-26</x:v>
      </x:c>
      <x:c r="B300" s="43" t="n">
        <x:v>5</x:v>
      </x:c>
      <x:c r="C300" s="39" t="str">
        <x:v>河牌幹死你</x:v>
      </x:c>
      <x:c r="D300" s="42" t="n">
        <x:v>140</x:v>
      </x:c>
      <x:c r="E300" s="41" t="b">
        <x:v>1</x:v>
      </x:c>
      <x:c r="F300" s="39" t="str">
        <x:v>260926</x:v>
      </x:c>
      <x:c r="G300" s="43" t="n">
        <x:v>6</x:v>
      </x:c>
      <x:c r="H300" s="39" t="str">
        <x:v>VALID</x:v>
      </x:c>
    </x:row>
    <x:row r="301">
      <x:c r="A301" s="39" t="str">
        <x:v>2026-09-26</x:v>
      </x:c>
      <x:c r="B301" s="43" t="n">
        <x:v>5</x:v>
      </x:c>
      <x:c r="C301" s="39" t="str">
        <x:v>威</x:v>
      </x:c>
      <x:c r="D301" s="42" t="n">
        <x:v>-250</x:v>
      </x:c>
      <x:c r="E301" s="41" t="b">
        <x:v>1</x:v>
      </x:c>
      <x:c r="F301" s="39" t="str">
        <x:v>260926</x:v>
      </x:c>
      <x:c r="G301" s="43" t="n">
        <x:v>6</x:v>
      </x:c>
      <x:c r="H301" s="39" t="str">
        <x:v>VALID</x:v>
      </x:c>
    </x:row>
    <x:row r="302">
      <x:c r="A302" s="39" t="str">
        <x:v>2026-09-26</x:v>
      </x:c>
      <x:c r="B302" s="43" t="n">
        <x:v>6</x:v>
      </x:c>
      <x:c r="C302" s="39" t="str">
        <x:v>強的可怕</x:v>
      </x:c>
      <x:c r="D302" s="42" t="n">
        <x:v>82.5</x:v>
      </x:c>
      <x:c r="E302" s="41" t="b">
        <x:v>1</x:v>
      </x:c>
      <x:c r="F302" s="39" t="str">
        <x:v>260926</x:v>
      </x:c>
      <x:c r="G302" s="43" t="n">
        <x:v>7</x:v>
      </x:c>
      <x:c r="H302" s="39" t="str">
        <x:v>VALID</x:v>
      </x:c>
    </x:row>
    <x:row r="303">
      <x:c r="A303" s="39" t="str">
        <x:v>2026-09-26</x:v>
      </x:c>
      <x:c r="B303" s="43" t="n">
        <x:v>6</x:v>
      </x:c>
      <x:c r="C303" s="39" t="str">
        <x:v>KK之王</x:v>
      </x:c>
      <x:c r="D303" s="42" t="n">
        <x:v>157.5</x:v>
      </x:c>
      <x:c r="E303" s="41" t="b">
        <x:v>1</x:v>
      </x:c>
      <x:c r="F303" s="39" t="str">
        <x:v>260926</x:v>
      </x:c>
      <x:c r="G303" s="43" t="n">
        <x:v>7</x:v>
      </x:c>
      <x:c r="H303" s="39" t="str">
        <x:v>VALID</x:v>
      </x:c>
    </x:row>
    <x:row r="304">
      <x:c r="A304" s="39" t="str">
        <x:v>2026-09-26</x:v>
      </x:c>
      <x:c r="B304" s="43" t="n">
        <x:v>6</x:v>
      </x:c>
      <x:c r="C304" s="39" t="str">
        <x:v>淡水金城武</x:v>
      </x:c>
      <x:c r="D304" s="42" t="n">
        <x:v>67.5</x:v>
      </x:c>
      <x:c r="E304" s="41" t="b">
        <x:v>1</x:v>
      </x:c>
      <x:c r="F304" s="39" t="str">
        <x:v>260926</x:v>
      </x:c>
      <x:c r="G304" s="43" t="n">
        <x:v>7</x:v>
      </x:c>
      <x:c r="H304" s="39" t="str">
        <x:v>VALID</x:v>
      </x:c>
    </x:row>
    <x:row r="305">
      <x:c r="A305" s="39" t="str">
        <x:v>2026-09-26</x:v>
      </x:c>
      <x:c r="B305" s="43" t="n">
        <x:v>6</x:v>
      </x:c>
      <x:c r="C305" s="39" t="str">
        <x:v>大舅哥</x:v>
      </x:c>
      <x:c r="D305" s="42" t="n">
        <x:v>40</x:v>
      </x:c>
      <x:c r="E305" s="41" t="b">
        <x:v>1</x:v>
      </x:c>
      <x:c r="F305" s="39" t="str">
        <x:v>260926</x:v>
      </x:c>
      <x:c r="G305" s="43" t="n">
        <x:v>7</x:v>
      </x:c>
      <x:c r="H305" s="39" t="str">
        <x:v>VALID</x:v>
      </x:c>
    </x:row>
    <x:row r="306">
      <x:c r="A306" s="39" t="str">
        <x:v>2026-09-26</x:v>
      </x:c>
      <x:c r="B306" s="43" t="n">
        <x:v>6</x:v>
      </x:c>
      <x:c r="C306" s="39" t="str">
        <x:v>z隕石毀滅者</x:v>
      </x:c>
      <x:c r="D306" s="42" t="n">
        <x:v>2.5</x:v>
      </x:c>
      <x:c r="E306" s="41" t="b">
        <x:v>1</x:v>
      </x:c>
      <x:c r="F306" s="39" t="str">
        <x:v>260926</x:v>
      </x:c>
      <x:c r="G306" s="43" t="n">
        <x:v>7</x:v>
      </x:c>
      <x:c r="H306" s="39" t="str">
        <x:v>VALID</x:v>
      </x:c>
    </x:row>
    <x:row r="307">
      <x:c r="A307" s="39" t="str">
        <x:v>2026-09-26</x:v>
      </x:c>
      <x:c r="B307" s="43" t="n">
        <x:v>6</x:v>
      </x:c>
      <x:c r="C307" s="39" t="str">
        <x:v>河牌幹死你</x:v>
      </x:c>
      <x:c r="D307" s="42" t="n">
        <x:v>-240</x:v>
      </x:c>
      <x:c r="E307" s="41" t="b">
        <x:v>1</x:v>
      </x:c>
      <x:c r="F307" s="39" t="str">
        <x:v>260926</x:v>
      </x:c>
      <x:c r="G307" s="43" t="n">
        <x:v>7</x:v>
      </x:c>
      <x:c r="H307" s="39" t="str">
        <x:v>VALID</x:v>
      </x:c>
    </x:row>
    <x:row r="308">
      <x:c r="A308" s="39" t="str">
        <x:v>2026-09-26</x:v>
      </x:c>
      <x:c r="B308" s="43" t="n">
        <x:v>6</x:v>
      </x:c>
      <x:c r="C308" s="39" t="str">
        <x:v>威</x:v>
      </x:c>
      <x:c r="D308" s="42" t="n">
        <x:v>-110</x:v>
      </x:c>
      <x:c r="E308" s="41" t="b">
        <x:v>1</x:v>
      </x:c>
      <x:c r="F308" s="39" t="str">
        <x:v>260926</x:v>
      </x:c>
      <x:c r="G308" s="43" t="n">
        <x:v>7</x:v>
      </x:c>
      <x:c r="H308" s="39" t="str">
        <x:v>VALID</x:v>
      </x:c>
    </x:row>
    <x:row r="309">
      <x:c r="A309" s="39" t="str">
        <x:v>2026-09-26</x:v>
      </x:c>
      <x:c r="B309" s="43" t="n">
        <x:v>7</x:v>
      </x:c>
      <x:c r="C309" s="39" t="str">
        <x:v>強的可怕</x:v>
      </x:c>
      <x:c r="D309" s="42" t="n">
        <x:v>102.5</x:v>
      </x:c>
      <x:c r="E309" s="41" t="b">
        <x:v>1</x:v>
      </x:c>
      <x:c r="F309" s="39" t="str">
        <x:v>260926</x:v>
      </x:c>
      <x:c r="G309" s="43" t="n">
        <x:v>8</x:v>
      </x:c>
      <x:c r="H309" s="39" t="str">
        <x:v>VALID</x:v>
      </x:c>
    </x:row>
    <x:row r="310">
      <x:c r="A310" s="39" t="str">
        <x:v>2026-09-26</x:v>
      </x:c>
      <x:c r="B310" s="43" t="n">
        <x:v>7</x:v>
      </x:c>
      <x:c r="C310" s="39" t="str">
        <x:v>KK之王</x:v>
      </x:c>
      <x:c r="D310" s="42" t="n">
        <x:v>225</x:v>
      </x:c>
      <x:c r="E310" s="41" t="b">
        <x:v>1</x:v>
      </x:c>
      <x:c r="F310" s="39" t="str">
        <x:v>260926</x:v>
      </x:c>
      <x:c r="G310" s="43" t="n">
        <x:v>8</x:v>
      </x:c>
      <x:c r="H310" s="39" t="str">
        <x:v>VALID</x:v>
      </x:c>
    </x:row>
    <x:row r="311">
      <x:c r="A311" s="39" t="str">
        <x:v>2026-09-26</x:v>
      </x:c>
      <x:c r="B311" s="43" t="n">
        <x:v>7</x:v>
      </x:c>
      <x:c r="C311" s="39" t="str">
        <x:v>淡水金城武</x:v>
      </x:c>
      <x:c r="D311" s="42" t="n">
        <x:v>12.5</x:v>
      </x:c>
      <x:c r="E311" s="41" t="b">
        <x:v>1</x:v>
      </x:c>
      <x:c r="F311" s="39" t="str">
        <x:v>260926</x:v>
      </x:c>
      <x:c r="G311" s="43" t="n">
        <x:v>8</x:v>
      </x:c>
      <x:c r="H311" s="39" t="str">
        <x:v>VALID</x:v>
      </x:c>
    </x:row>
    <x:row r="312">
      <x:c r="A312" s="39" t="str">
        <x:v>2026-09-26</x:v>
      </x:c>
      <x:c r="B312" s="43" t="n">
        <x:v>7</x:v>
      </x:c>
      <x:c r="C312" s="39" t="str">
        <x:v>大舅哥</x:v>
      </x:c>
      <x:c r="D312" s="42" t="n">
        <x:v>-250</x:v>
      </x:c>
      <x:c r="E312" s="41" t="b">
        <x:v>1</x:v>
      </x:c>
      <x:c r="F312" s="39" t="str">
        <x:v>260926</x:v>
      </x:c>
      <x:c r="G312" s="43" t="n">
        <x:v>8</x:v>
      </x:c>
      <x:c r="H312" s="39" t="str">
        <x:v>VALID</x:v>
      </x:c>
    </x:row>
    <x:row r="313">
      <x:c r="A313" s="39" t="str">
        <x:v>2026-09-26</x:v>
      </x:c>
      <x:c r="B313" s="43" t="n">
        <x:v>7</x:v>
      </x:c>
      <x:c r="C313" s="39" t="str">
        <x:v>z隕石毀滅者</x:v>
      </x:c>
      <x:c r="D313" s="42" t="n">
        <x:v>-37.5</x:v>
      </x:c>
      <x:c r="E313" s="41" t="b">
        <x:v>1</x:v>
      </x:c>
      <x:c r="F313" s="39" t="str">
        <x:v>260926</x:v>
      </x:c>
      <x:c r="G313" s="43" t="n">
        <x:v>8</x:v>
      </x:c>
      <x:c r="H313" s="39" t="str">
        <x:v>VALID</x:v>
      </x:c>
    </x:row>
    <x:row r="314">
      <x:c r="A314" s="39" t="str">
        <x:v>2026-09-26</x:v>
      </x:c>
      <x:c r="B314" s="43" t="n">
        <x:v>7</x:v>
      </x:c>
      <x:c r="C314" s="39" t="str">
        <x:v>河牌幹死你</x:v>
      </x:c>
      <x:c r="D314" s="42" t="n">
        <x:v>-20</x:v>
      </x:c>
      <x:c r="E314" s="41" t="b">
        <x:v>1</x:v>
      </x:c>
      <x:c r="F314" s="39" t="str">
        <x:v>260926</x:v>
      </x:c>
      <x:c r="G314" s="43" t="n">
        <x:v>8</x:v>
      </x:c>
      <x:c r="H314" s="39" t="str">
        <x:v>VALID</x:v>
      </x:c>
    </x:row>
    <x:row r="315">
      <x:c r="A315" s="39" t="str">
        <x:v>2026-09-26</x:v>
      </x:c>
      <x:c r="B315" s="43" t="n">
        <x:v>7</x:v>
      </x:c>
      <x:c r="C315" s="39" t="str">
        <x:v>威</x:v>
      </x:c>
      <x:c r="D315" s="42" t="n">
        <x:v>-32.5</x:v>
      </x:c>
      <x:c r="E315" s="41" t="b">
        <x:v>1</x:v>
      </x:c>
      <x:c r="F315" s="39" t="str">
        <x:v>260926</x:v>
      </x:c>
      <x:c r="G315" s="43" t="n">
        <x:v>8</x:v>
      </x:c>
      <x:c r="H315" s="39" t="str">
        <x:v>VALID</x:v>
      </x:c>
    </x:row>
    <x:row r="316">
      <x:c r="A316" s="39" t="str">
        <x:v>2026-09-26</x:v>
      </x:c>
      <x:c r="B316" s="43" t="n">
        <x:v>8</x:v>
      </x:c>
      <x:c r="C316" s="39" t="str">
        <x:v>強的可怕</x:v>
      </x:c>
      <x:c r="D316" s="42" t="n">
        <x:v>210</x:v>
      </x:c>
      <x:c r="E316" s="41" t="b">
        <x:v>1</x:v>
      </x:c>
      <x:c r="F316" s="39" t="str">
        <x:v>260926</x:v>
      </x:c>
      <x:c r="G316" s="43" t="n">
        <x:v>9</x:v>
      </x:c>
      <x:c r="H316" s="39" t="str">
        <x:v>VALID</x:v>
      </x:c>
    </x:row>
    <x:row r="317">
      <x:c r="A317" s="39" t="str">
        <x:v>2026-09-26</x:v>
      </x:c>
      <x:c r="B317" s="43" t="n">
        <x:v>8</x:v>
      </x:c>
      <x:c r="C317" s="39" t="str">
        <x:v>KK之王</x:v>
      </x:c>
      <x:c r="D317" s="42" t="n">
        <x:v>-250</x:v>
      </x:c>
      <x:c r="E317" s="41" t="b">
        <x:v>1</x:v>
      </x:c>
      <x:c r="F317" s="39" t="str">
        <x:v>260926</x:v>
      </x:c>
      <x:c r="G317" s="43" t="n">
        <x:v>9</x:v>
      </x:c>
      <x:c r="H317" s="39" t="str">
        <x:v>VALID</x:v>
      </x:c>
    </x:row>
    <x:row r="318">
      <x:c r="A318" s="39" t="str">
        <x:v>2026-09-26</x:v>
      </x:c>
      <x:c r="B318" s="43" t="n">
        <x:v>8</x:v>
      </x:c>
      <x:c r="C318" s="39" t="str">
        <x:v>淡水金城武</x:v>
      </x:c>
      <x:c r="D318" s="42" t="n">
        <x:v>332.5</x:v>
      </x:c>
      <x:c r="E318" s="41" t="b">
        <x:v>1</x:v>
      </x:c>
      <x:c r="F318" s="39" t="str">
        <x:v>260926</x:v>
      </x:c>
      <x:c r="G318" s="43" t="n">
        <x:v>9</x:v>
      </x:c>
      <x:c r="H318" s="39" t="str">
        <x:v>VALID</x:v>
      </x:c>
    </x:row>
    <x:row r="319">
      <x:c r="A319" s="39" t="str">
        <x:v>2026-09-26</x:v>
      </x:c>
      <x:c r="B319" s="43" t="n">
        <x:v>8</x:v>
      </x:c>
      <x:c r="C319" s="39" t="str">
        <x:v>大舅哥</x:v>
      </x:c>
      <x:c r="D319" s="42" t="n">
        <x:v>-75</x:v>
      </x:c>
      <x:c r="E319" s="41" t="b">
        <x:v>1</x:v>
      </x:c>
      <x:c r="F319" s="39" t="str">
        <x:v>260926</x:v>
      </x:c>
      <x:c r="G319" s="43" t="n">
        <x:v>9</x:v>
      </x:c>
      <x:c r="H319" s="39" t="str">
        <x:v>VALID</x:v>
      </x:c>
    </x:row>
    <x:row r="320">
      <x:c r="A320" s="39" t="str">
        <x:v>2026-09-26</x:v>
      </x:c>
      <x:c r="B320" s="43" t="n">
        <x:v>8</x:v>
      </x:c>
      <x:c r="C320" s="39" t="str">
        <x:v>z隕石毀滅者</x:v>
      </x:c>
      <x:c r="D320" s="42" t="n">
        <x:v>15</x:v>
      </x:c>
      <x:c r="E320" s="41" t="b">
        <x:v>1</x:v>
      </x:c>
      <x:c r="F320" s="39" t="str">
        <x:v>260926</x:v>
      </x:c>
      <x:c r="G320" s="43" t="n">
        <x:v>9</x:v>
      </x:c>
      <x:c r="H320" s="39" t="str">
        <x:v>VALID</x:v>
      </x:c>
    </x:row>
    <x:row r="321">
      <x:c r="A321" s="39" t="str">
        <x:v>2026-09-26</x:v>
      </x:c>
      <x:c r="B321" s="43" t="n">
        <x:v>8</x:v>
      </x:c>
      <x:c r="C321" s="39" t="str">
        <x:v>河牌幹死你</x:v>
      </x:c>
      <x:c r="D321" s="42" t="n">
        <x:v>-127.5</x:v>
      </x:c>
      <x:c r="E321" s="41" t="b">
        <x:v>1</x:v>
      </x:c>
      <x:c r="F321" s="39" t="str">
        <x:v>260926</x:v>
      </x:c>
      <x:c r="G321" s="43" t="n">
        <x:v>9</x:v>
      </x:c>
      <x:c r="H321" s="39" t="str">
        <x:v>VALID</x:v>
      </x:c>
    </x:row>
    <x:row r="322">
      <x:c r="A322" s="39" t="str">
        <x:v>2026-09-26</x:v>
      </x:c>
      <x:c r="B322" s="43" t="n">
        <x:v>8</x:v>
      </x:c>
      <x:c r="C322" s="39" t="str">
        <x:v>威</x:v>
      </x:c>
      <x:c r="D322" s="42" t="n">
        <x:v>-105</x:v>
      </x:c>
      <x:c r="E322" s="41" t="b">
        <x:v>1</x:v>
      </x:c>
      <x:c r="F322" s="39" t="str">
        <x:v>260926</x:v>
      </x:c>
      <x:c r="G322" s="43" t="n">
        <x:v>9</x:v>
      </x:c>
      <x:c r="H322" s="39" t="str">
        <x:v>VALID</x:v>
      </x:c>
    </x:row>
    <x:row r="323">
      <x:c r="A323" s="39" t="str">
        <x:v>2026-09-26</x:v>
      </x:c>
      <x:c r="B323" s="43" t="n">
        <x:v>9</x:v>
      </x:c>
      <x:c r="C323" s="39" t="str">
        <x:v>強的可怕</x:v>
      </x:c>
      <x:c r="D323" s="42" t="n">
        <x:v>122.5</x:v>
      </x:c>
      <x:c r="E323" s="41" t="b">
        <x:v>1</x:v>
      </x:c>
      <x:c r="F323" s="39" t="str">
        <x:v>260926</x:v>
      </x:c>
      <x:c r="G323" s="43" t="n">
        <x:v>10</x:v>
      </x:c>
      <x:c r="H323" s="39" t="str">
        <x:v>VALID</x:v>
      </x:c>
    </x:row>
    <x:row r="324">
      <x:c r="A324" s="39" t="str">
        <x:v>2026-09-26</x:v>
      </x:c>
      <x:c r="B324" s="43" t="n">
        <x:v>9</x:v>
      </x:c>
      <x:c r="C324" s="39" t="str">
        <x:v>KK之王</x:v>
      </x:c>
      <x:c r="D324" s="42" t="n">
        <x:v>105</x:v>
      </x:c>
      <x:c r="E324" s="41" t="b">
        <x:v>1</x:v>
      </x:c>
      <x:c r="F324" s="39" t="str">
        <x:v>260926</x:v>
      </x:c>
      <x:c r="G324" s="43" t="n">
        <x:v>10</x:v>
      </x:c>
      <x:c r="H324" s="39" t="str">
        <x:v>VALID</x:v>
      </x:c>
    </x:row>
    <x:row r="325">
      <x:c r="A325" s="39" t="str">
        <x:v>2026-09-26</x:v>
      </x:c>
      <x:c r="B325" s="43" t="n">
        <x:v>9</x:v>
      </x:c>
      <x:c r="C325" s="39" t="str">
        <x:v>淡水金城武</x:v>
      </x:c>
      <x:c r="D325" s="42" t="n">
        <x:v>22.5</x:v>
      </x:c>
      <x:c r="E325" s="41" t="b">
        <x:v>1</x:v>
      </x:c>
      <x:c r="F325" s="39" t="str">
        <x:v>260926</x:v>
      </x:c>
      <x:c r="G325" s="43" t="n">
        <x:v>10</x:v>
      </x:c>
      <x:c r="H325" s="39" t="str">
        <x:v>VALID</x:v>
      </x:c>
    </x:row>
    <x:row r="326">
      <x:c r="A326" s="39" t="str">
        <x:v>2026-09-26</x:v>
      </x:c>
      <x:c r="B326" s="43" t="n">
        <x:v>9</x:v>
      </x:c>
      <x:c r="C326" s="39" t="str">
        <x:v>河牌幹死你</x:v>
      </x:c>
      <x:c r="D326" s="42" t="n">
        <x:v>-250</x:v>
      </x:c>
      <x:c r="E326" s="41" t="b">
        <x:v>1</x:v>
      </x:c>
      <x:c r="F326" s="39" t="str">
        <x:v>260926</x:v>
      </x:c>
      <x:c r="G326" s="43" t="n">
        <x:v>10</x:v>
      </x:c>
      <x:c r="H326" s="39" t="str">
        <x:v>VALID</x:v>
      </x:c>
    </x:row>
    <x:row r="327">
      <x:c r="A327" s="39" t="str">
        <x:v>2026-09-26</x:v>
      </x:c>
      <x:c r="B327" s="43" t="n">
        <x:v>10</x:v>
      </x:c>
      <x:c r="C327" s="39" t="str">
        <x:v>強的可怕</x:v>
      </x:c>
      <x:c r="D327" s="42" t="n">
        <x:v>-250</x:v>
      </x:c>
      <x:c r="E327" s="41" t="b">
        <x:v>1</x:v>
      </x:c>
      <x:c r="F327" s="39" t="str">
        <x:v>260926</x:v>
      </x:c>
      <x:c r="G327" s="43" t="n">
        <x:v>11</x:v>
      </x:c>
      <x:c r="H327" s="39" t="str">
        <x:v>VALID</x:v>
      </x:c>
    </x:row>
    <x:row r="328">
      <x:c r="A328" s="39" t="str">
        <x:v>2026-09-26</x:v>
      </x:c>
      <x:c r="B328" s="43" t="n">
        <x:v>10</x:v>
      </x:c>
      <x:c r="C328" s="39" t="str">
        <x:v>KK之王</x:v>
      </x:c>
      <x:c r="D328" s="42" t="n">
        <x:v>15</x:v>
      </x:c>
      <x:c r="E328" s="41" t="b">
        <x:v>1</x:v>
      </x:c>
      <x:c r="F328" s="39" t="str">
        <x:v>260926</x:v>
      </x:c>
      <x:c r="G328" s="43" t="n">
        <x:v>11</x:v>
      </x:c>
      <x:c r="H328" s="39" t="str">
        <x:v>VALID</x:v>
      </x:c>
    </x:row>
    <x:row r="329">
      <x:c r="A329" s="39" t="str">
        <x:v>2026-09-26</x:v>
      </x:c>
      <x:c r="B329" s="43" t="n">
        <x:v>10</x:v>
      </x:c>
      <x:c r="C329" s="39" t="str">
        <x:v>淡水金城武</x:v>
      </x:c>
      <x:c r="D329" s="42" t="n">
        <x:v>235</x:v>
      </x:c>
      <x:c r="E329" s="41" t="b">
        <x:v>1</x:v>
      </x:c>
      <x:c r="F329" s="39" t="str">
        <x:v>260926</x:v>
      </x:c>
      <x:c r="G329" s="43" t="n">
        <x:v>11</x:v>
      </x:c>
      <x:c r="H329" s="39" t="str">
        <x:v>VALID</x:v>
      </x:c>
    </x:row>
    <x:row r="330">
      <x:c r="A330" s="39" t="str">
        <x:v>2026-09-26</x:v>
      </x:c>
      <x:c r="B330" s="43" t="n">
        <x:v>11</x:v>
      </x:c>
      <x:c r="C330" s="39" t="str">
        <x:v>強的可怕</x:v>
      </x:c>
      <x:c r="D330" s="42" t="n">
        <x:v>142.5</x:v>
      </x:c>
      <x:c r="E330" s="41" t="b">
        <x:v>1</x:v>
      </x:c>
      <x:c r="F330" s="39" t="str">
        <x:v>260926</x:v>
      </x:c>
      <x:c r="G330" s="43" t="n">
        <x:v>12</x:v>
      </x:c>
      <x:c r="H330" s="39" t="str">
        <x:v>VALID</x:v>
      </x:c>
    </x:row>
    <x:row r="331">
      <x:c r="A331" s="39" t="str">
        <x:v>2026-09-26</x:v>
      </x:c>
      <x:c r="B331" s="43" t="n">
        <x:v>11</x:v>
      </x:c>
      <x:c r="C331" s="39" t="str">
        <x:v>KK之王</x:v>
      </x:c>
      <x:c r="D331" s="42" t="n">
        <x:v>72.5</x:v>
      </x:c>
      <x:c r="E331" s="41" t="b">
        <x:v>1</x:v>
      </x:c>
      <x:c r="F331" s="39" t="str">
        <x:v>260926</x:v>
      </x:c>
      <x:c r="G331" s="43" t="n">
        <x:v>12</x:v>
      </x:c>
      <x:c r="H331" s="39" t="str">
        <x:v>VALID</x:v>
      </x:c>
    </x:row>
    <x:row r="332">
      <x:c r="A332" s="39" t="str">
        <x:v>2026-09-26</x:v>
      </x:c>
      <x:c r="B332" s="43" t="n">
        <x:v>11</x:v>
      </x:c>
      <x:c r="C332" s="39" t="str">
        <x:v>淡水金城武</x:v>
      </x:c>
      <x:c r="D332" s="42" t="n">
        <x:v>35</x:v>
      </x:c>
      <x:c r="E332" s="41" t="b">
        <x:v>1</x:v>
      </x:c>
      <x:c r="F332" s="39" t="str">
        <x:v>260926</x:v>
      </x:c>
      <x:c r="G332" s="43" t="n">
        <x:v>12</x:v>
      </x:c>
      <x:c r="H332" s="39" t="str">
        <x:v>VALID</x:v>
      </x:c>
    </x:row>
    <x:row r="333">
      <x:c r="A333" s="39" t="str">
        <x:v>2026-09-26</x:v>
      </x:c>
      <x:c r="B333" s="43" t="n">
        <x:v>11</x:v>
      </x:c>
      <x:c r="C333" s="39" t="str">
        <x:v>河牌幹死你</x:v>
      </x:c>
      <x:c r="D333" s="42" t="n">
        <x:v>-250</x:v>
      </x:c>
      <x:c r="E333" s="41" t="b">
        <x:v>1</x:v>
      </x:c>
      <x:c r="F333" s="39" t="str">
        <x:v>260926</x:v>
      </x:c>
      <x:c r="G333" s="43" t="n">
        <x:v>12</x:v>
      </x:c>
      <x:c r="H333" s="39" t="str">
        <x:v>VALID</x:v>
      </x:c>
    </x:row>
  </x:sheetData>
  <x:conditionalFormatting sqref="H2:H333">
    <x:cfRule type="containsText" dxfId="2" priority="1" operator="containsText" text="WARNING"/>
  </x:conditionalFormatting>
  <x:pageMargins left="0.7" right="0.7" top="0.75" bottom="0.75" header="0.3" footer="0.3"/>
  <x:tableParts count="1">
    <x:tablePart xmlns:r="http://schemas.openxmlformats.org/officeDocument/2006/relationships" r:id="Re6338ce31de24ae2"/>
  </x:tableParts>
</x:worksheet>
</file>