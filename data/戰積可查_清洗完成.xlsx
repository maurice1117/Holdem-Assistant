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總表(包含飯錢)" sheetId="1" r:id="rId5"/>
    <sheet state="visible" name="純戰鬥紀錄" sheetId="2" r:id="rId6"/>
    <sheet state="visible" name="分析" sheetId="3" r:id="rId7"/>
    <sheet state="visible" name="260815" sheetId="4" r:id="rId8"/>
    <sheet state="visible" name="260731" sheetId="5" r:id="rId9"/>
    <sheet state="visible" name="260725" sheetId="6" r:id="rId10"/>
    <sheet state="visible" name="Clean_Sessions" sheetId="7" r:id="rId11"/>
    <sheet state="visible" name="Clean_SessionResults" sheetId="8" r:id="rId12"/>
  </sheets>
  <definedNames/>
  <calcPr/>
</workbook>
</file>

<file path=xl/sharedStrings.xml><?xml version="1.0" encoding="utf-8"?>
<sst xmlns="http://schemas.openxmlformats.org/spreadsheetml/2006/main" count="803" uniqueCount="63">
  <si>
    <t>強的可怕</t>
  </si>
  <si>
    <t>KK之王</t>
  </si>
  <si>
    <t>河牌幹死你</t>
  </si>
  <si>
    <t>淡水金城武</t>
  </si>
  <si>
    <t>威</t>
  </si>
  <si>
    <t>葉</t>
  </si>
  <si>
    <t>中</t>
  </si>
  <si>
    <t>Kai</t>
  </si>
  <si>
    <t>檢查</t>
  </si>
  <si>
    <t>遠古時代</t>
  </si>
  <si>
    <t>我是你爸</t>
  </si>
  <si>
    <t>大舅哥</t>
  </si>
  <si>
    <t>帥潮</t>
  </si>
  <si>
    <t>註</t>
  </si>
  <si>
    <t>戰鬥紀錄</t>
  </si>
  <si>
    <t>累積戰績</t>
  </si>
  <si>
    <t>回撤統計</t>
  </si>
  <si>
    <t>涼麵</t>
  </si>
  <si>
    <t>我是你爸、帥潮先結</t>
  </si>
  <si>
    <t>調整</t>
  </si>
  <si>
    <t>最高點</t>
  </si>
  <si>
    <t>當前回撤</t>
  </si>
  <si>
    <t>0815結</t>
  </si>
  <si>
    <t>Z隕石毀滅者</t>
  </si>
  <si>
    <t>Kai、Z隕石毀滅者先結</t>
  </si>
  <si>
    <t>我猜是飯錢</t>
  </si>
  <si>
    <t>0731結</t>
  </si>
  <si>
    <t>0725結</t>
  </si>
  <si>
    <t>game_date</t>
  </si>
  <si>
    <t>session_number</t>
  </si>
  <si>
    <t>source_sheet</t>
  </si>
  <si>
    <t>source_row</t>
  </si>
  <si>
    <t>participant_count</t>
  </si>
  <si>
    <t>total_pnl</t>
  </si>
  <si>
    <t>balance_status</t>
  </si>
  <si>
    <t>note</t>
  </si>
  <si>
    <t>import_action</t>
  </si>
  <si>
    <t>2026-07-25</t>
  </si>
  <si>
    <t>260725</t>
  </si>
  <si>
    <t>VALID</t>
  </si>
  <si>
    <t>IMPORT</t>
  </si>
  <si>
    <t>WARNING</t>
  </si>
  <si>
    <t>REVIEW</t>
  </si>
  <si>
    <t>2026-07-31</t>
  </si>
  <si>
    <t>260731</t>
  </si>
  <si>
    <t>2026-08-15</t>
  </si>
  <si>
    <t>260815</t>
  </si>
  <si>
    <t>player_name</t>
  </si>
  <si>
    <t>pnl</t>
  </si>
  <si>
    <t>participated</t>
  </si>
  <si>
    <t>session_status</t>
  </si>
  <si>
    <t>BB</t>
  </si>
  <si>
    <t>局數</t>
  </si>
  <si>
    <t>總損益</t>
  </si>
  <si>
    <t>bb/100</t>
  </si>
  <si>
    <t>單局標準差</t>
  </si>
  <si>
    <t>百局標準差</t>
  </si>
  <si>
    <t>勝率</t>
  </si>
  <si>
    <t>盈虧比</t>
  </si>
  <si>
    <t>高點</t>
  </si>
  <si>
    <t>低點</t>
  </si>
  <si>
    <t>最大回撤</t>
  </si>
  <si>
    <t>每百局風險報酬比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</si>
</sst>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/d"/>
    <numFmt numFmtId="165" formatCode="0.000"/>
  </numFmts>
  <fonts count="6">
    <font>
      <sz val="10.0"/>
      <color rgb="FF000000"/>
      <name val="Arial"/>
      <scheme val="minor"/>
    </font>
    <font>
      <color theme="1"/>
      <name val="Arial"/>
    </font>
    <font/>
    <font>
      <b/>
      <sz val="10.0"/>
      <color rgb="FF000000"/>
      <name val="Arial"/>
    </font>
    <font>
      <color theme="1"/>
      <name val="Arial"/>
      <scheme val="minor"/>
    </font>
    <font>
      <sz val="10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E8EAED"/>
        <bgColor rgb="FFE8EAED"/>
      </patternFill>
    </fill>
    <fill>
      <patternFill patternType="solid">
        <fgColor rgb="FFFCE8E6"/>
        <bgColor rgb="FFFCE8E6"/>
      </patternFill>
    </fill>
  </fills>
  <borders count="1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horizontal="center"/>
    </xf>
    <xf borderId="5" fillId="0" fontId="1" numFmtId="0" xfId="0" applyBorder="1" applyFont="1"/>
    <xf borderId="6" fillId="0" fontId="1" numFmtId="0" xfId="0" applyBorder="1" applyFont="1"/>
    <xf borderId="4" fillId="0" fontId="1" numFmtId="0" xfId="0" applyBorder="1" applyFont="1"/>
    <xf borderId="4" fillId="0" fontId="1" numFmtId="0" xfId="0" applyAlignment="1" applyBorder="1" applyFont="1">
      <alignment vertical="bottom"/>
    </xf>
    <xf borderId="0" fillId="2" fontId="3" numFmtId="0" xfId="0" applyAlignment="1" applyFill="1" applyFont="1">
      <alignment shrinkToFit="0" vertical="bottom" wrapText="0"/>
    </xf>
    <xf borderId="0" fillId="0" fontId="4" numFmtId="0" xfId="0" applyFont="1"/>
    <xf borderId="0" fillId="3" fontId="5" numFmtId="0" xfId="0" applyAlignment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1" numFmtId="0" xfId="0" applyBorder="1" applyFont="1"/>
    <xf borderId="3" fillId="0" fontId="1" numFmtId="0" xfId="0" applyBorder="1" applyFont="1"/>
    <xf borderId="4" fillId="0" fontId="1" numFmtId="2" xfId="0" applyBorder="1" applyFont="1" applyNumberFormat="1"/>
    <xf borderId="7" fillId="0" fontId="1" numFmtId="0" xfId="0" applyBorder="1" applyFont="1"/>
    <xf borderId="8" fillId="0" fontId="1" numFmtId="0" xfId="0" applyBorder="1" applyFont="1"/>
    <xf borderId="9" fillId="0" fontId="1" numFmtId="0" xfId="0" applyBorder="1" applyFont="1"/>
    <xf borderId="4" fillId="0" fontId="1" numFmtId="10" xfId="0" applyBorder="1" applyFont="1" applyNumberFormat="1"/>
    <xf borderId="4" fillId="0" fontId="1" numFmtId="165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勝率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'分析'!$B$9</c:f>
            </c:strRef>
          </c:tx>
          <c:spPr>
            <a:solidFill>
              <a:schemeClr val="accent1"/>
            </a:solidFill>
            <a:ln cmpd="sng">
              <a:noFill/>
            </a:ln>
          </c:spPr>
          <c:val>
            <c:numRef>
              <c:f>'分析'!$C$9:$H$9</c:f>
              <c:numCache/>
            </c:numRef>
          </c:val>
        </c:ser>
        <c:axId val="348851564"/>
        <c:axId val="1184075339"/>
      </c:barChart>
      <c:catAx>
        <c:axId val="3488515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1184075339"/>
      </c:catAx>
      <c:valAx>
        <c:axId val="1184075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勝率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34885156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bb/100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'分析'!$B$6</c:f>
            </c:strRef>
          </c:tx>
          <c:spPr>
            <a:solidFill>
              <a:schemeClr val="accent1"/>
            </a:solidFill>
            <a:ln cmpd="sng">
              <a:noFill/>
            </a:ln>
          </c:spPr>
          <c:val>
            <c:numRef>
              <c:f>'分析'!$C$6:$H$6</c:f>
              <c:numCache/>
            </c:numRef>
          </c:val>
        </c:ser>
        <c:axId val="487006608"/>
        <c:axId val="192577780"/>
      </c:barChart>
      <c:catAx>
        <c:axId val="487006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192577780"/>
      </c:catAx>
      <c:valAx>
        <c:axId val="1925777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bb/100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487006608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盈虧比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'分析'!$B$10</c:f>
            </c:strRef>
          </c:tx>
          <c:spPr>
            <a:solidFill>
              <a:schemeClr val="accent1"/>
            </a:solidFill>
            <a:ln cmpd="sng">
              <a:noFill/>
            </a:ln>
          </c:spPr>
          <c:val>
            <c:numRef>
              <c:f>'分析'!$C$10:$H$10</c:f>
              <c:numCache/>
            </c:numRef>
          </c:val>
        </c:ser>
        <c:axId val="504168644"/>
        <c:axId val="388110008"/>
      </c:barChart>
      <c:catAx>
        <c:axId val="5041686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388110008"/>
      </c:catAx>
      <c:valAx>
        <c:axId val="3881100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盈虧比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50416864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每百局風險報酬比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'分析'!$B$14</c:f>
            </c:strRef>
          </c:tx>
          <c:spPr>
            <a:solidFill>
              <a:schemeClr val="accent1"/>
            </a:solidFill>
            <a:ln cmpd="sng">
              <a:noFill/>
            </a:ln>
          </c:spPr>
          <c:val>
            <c:numRef>
              <c:f>'分析'!$C$14:$H$14</c:f>
              <c:numCache/>
            </c:numRef>
          </c:val>
        </c:ser>
        <c:axId val="2075870024"/>
        <c:axId val="408153923"/>
      </c:barChart>
      <c:catAx>
        <c:axId val="2075870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408153923"/>
      </c:catAx>
      <c:valAx>
        <c:axId val="4081539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百局風險報酬比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207587002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'純戰鬥紀錄'!$I$3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'純戰鬥紀錄'!$I$4:$I$28</c:f>
              <c:numCache/>
            </c:numRef>
          </c:val>
          <c:smooth val="0"/>
        </c:ser>
        <c:ser>
          <c:idx val="1"/>
          <c:order val="1"/>
          <c:tx>
            <c:strRef>
              <c:f>'純戰鬥紀錄'!$J$3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'純戰鬥紀錄'!$J$4:$J$28</c:f>
              <c:numCache/>
            </c:numRef>
          </c:val>
          <c:smooth val="0"/>
        </c:ser>
        <c:ser>
          <c:idx val="2"/>
          <c:order val="2"/>
          <c:tx>
            <c:strRef>
              <c:f>'純戰鬥紀錄'!$K$3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val>
            <c:numRef>
              <c:f>'純戰鬥紀錄'!$K$4:$K$28</c:f>
              <c:numCache/>
            </c:numRef>
          </c:val>
          <c:smooth val="0"/>
        </c:ser>
        <c:ser>
          <c:idx val="3"/>
          <c:order val="3"/>
          <c:tx>
            <c:strRef>
              <c:f>'純戰鬥紀錄'!$L$3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val>
            <c:numRef>
              <c:f>'純戰鬥紀錄'!$L$4:$L$28</c:f>
              <c:numCache/>
            </c:numRef>
          </c:val>
          <c:smooth val="0"/>
        </c:ser>
        <c:ser>
          <c:idx val="4"/>
          <c:order val="4"/>
          <c:tx>
            <c:strRef>
              <c:f>'純戰鬥紀錄'!$M$3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val>
            <c:numRef>
              <c:f>'純戰鬥紀錄'!$M$4:$M$28</c:f>
              <c:numCache/>
            </c:numRef>
          </c:val>
          <c:smooth val="0"/>
        </c:ser>
        <c:ser>
          <c:idx val="5"/>
          <c:order val="5"/>
          <c:tx>
            <c:strRef>
              <c:f>'純戰鬥紀錄'!$N$3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val>
            <c:numRef>
              <c:f>'純戰鬥紀錄'!$N$4:$N$28</c:f>
              <c:numCache/>
            </c:numRef>
          </c:val>
          <c:smooth val="0"/>
        </c:ser>
        <c:axId val="797147314"/>
        <c:axId val="992582932"/>
      </c:lineChart>
      <c:catAx>
        <c:axId val="7971473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992582932"/>
      </c:catAx>
      <c:valAx>
        <c:axId val="9925829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Calibri"/>
              </a:defRPr>
            </a:pPr>
          </a:p>
        </c:txPr>
        <c:crossAx val="79714731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266700</xdr:colOff>
      <xdr:row>1</xdr:row>
      <xdr:rowOff>66675</xdr:rowOff>
    </xdr:from>
    <xdr:ext cx="4076700" cy="251460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266700</xdr:colOff>
      <xdr:row>15</xdr:row>
      <xdr:rowOff>28575</xdr:rowOff>
    </xdr:from>
    <xdr:ext cx="4076700" cy="251460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12</xdr:col>
      <xdr:colOff>752475</xdr:colOff>
      <xdr:row>1</xdr:row>
      <xdr:rowOff>66675</xdr:rowOff>
    </xdr:from>
    <xdr:ext cx="4076700" cy="2514600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752475</xdr:colOff>
      <xdr:row>15</xdr:row>
      <xdr:rowOff>28575</xdr:rowOff>
    </xdr:from>
    <xdr:ext cx="4076700" cy="2514600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923925</xdr:colOff>
      <xdr:row>15</xdr:row>
      <xdr:rowOff>28575</xdr:rowOff>
    </xdr:from>
    <xdr:ext cx="7191375" cy="4419600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L1" s="1" t="s">
        <v>8</v>
      </c>
    </row>
    <row r="2" ht="15.75" customHeight="1">
      <c r="A2" s="1" t="s">
        <v>9</v>
      </c>
      <c r="B2" s="1">
        <v>777.5</v>
      </c>
      <c r="C2" s="1">
        <f>-222.5-245.5</f>
        <v>-468</v>
      </c>
      <c r="D2" s="1">
        <v>-1030.0</v>
      </c>
      <c r="E2" s="1">
        <v>1097.5</v>
      </c>
      <c r="F2" s="1">
        <v>-385.0</v>
      </c>
      <c r="G2" s="1">
        <v>0.0</v>
      </c>
      <c r="H2" s="1">
        <v>0.0</v>
      </c>
      <c r="I2" s="1">
        <v>0.0</v>
      </c>
      <c r="L2" s="1">
        <f t="shared" ref="L2:L5" si="1">sum(B2:K2)</f>
        <v>-8</v>
      </c>
    </row>
    <row r="3" ht="15.75" customHeight="1">
      <c r="A3" s="2">
        <v>46228.0</v>
      </c>
      <c r="B3" s="1">
        <f>B2+'260725'!A12</f>
        <v>1075</v>
      </c>
      <c r="C3" s="1">
        <f>C2+'260725'!B12</f>
        <v>-1065.5</v>
      </c>
      <c r="D3" s="1">
        <f>D2+'260725'!C12</f>
        <v>-724</v>
      </c>
      <c r="E3" s="1">
        <f>E2+'260725'!D12</f>
        <v>1099.5</v>
      </c>
      <c r="F3" s="1">
        <f t="shared" ref="F3:F5" si="2">F2</f>
        <v>-385</v>
      </c>
      <c r="G3" s="1">
        <v>0.0</v>
      </c>
      <c r="H3" s="1">
        <v>0.0</v>
      </c>
      <c r="I3" s="1">
        <v>0.0</v>
      </c>
      <c r="L3" s="1">
        <f t="shared" si="1"/>
        <v>0</v>
      </c>
    </row>
    <row r="4" ht="15.75" customHeight="1">
      <c r="A4" s="2">
        <v>46234.0</v>
      </c>
      <c r="B4" s="1">
        <f>B3+'260731'!A11</f>
        <v>1285</v>
      </c>
      <c r="C4" s="1">
        <f>C3+'260731'!B11</f>
        <v>-1375.5</v>
      </c>
      <c r="D4" s="1">
        <f>D3+'260731'!C11</f>
        <v>-864</v>
      </c>
      <c r="E4" s="1">
        <f>E3+'260731'!D11</f>
        <v>1132</v>
      </c>
      <c r="F4" s="1">
        <f t="shared" si="2"/>
        <v>-385</v>
      </c>
      <c r="G4" s="1">
        <f>G3+'260731'!E11</f>
        <v>17.5</v>
      </c>
      <c r="H4" s="1">
        <f>H3+'260731'!F11</f>
        <v>190</v>
      </c>
      <c r="I4" s="1">
        <v>0.0</v>
      </c>
      <c r="L4" s="1">
        <f t="shared" si="1"/>
        <v>0</v>
      </c>
    </row>
    <row r="5" ht="15.75" customHeight="1">
      <c r="A5" s="2">
        <v>46249.0</v>
      </c>
      <c r="B5" s="1">
        <f>B4+'260815'!A20</f>
        <v>1312.5</v>
      </c>
      <c r="C5" s="1">
        <f>C4+'260815'!B20</f>
        <v>-1068.5</v>
      </c>
      <c r="D5" s="1">
        <f>D4</f>
        <v>-864</v>
      </c>
      <c r="E5" s="1">
        <f>E4+'260815'!C20</f>
        <v>1177</v>
      </c>
      <c r="F5" s="1">
        <f t="shared" si="2"/>
        <v>-385</v>
      </c>
      <c r="G5" s="1">
        <f>G4</f>
        <v>17.5</v>
      </c>
      <c r="H5" s="1">
        <f>H4+'260815'!D20</f>
        <v>-394.5</v>
      </c>
      <c r="I5" s="1">
        <f>I4+'260815'!F20</f>
        <v>205</v>
      </c>
      <c r="L5" s="1">
        <f t="shared" si="1"/>
        <v>0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</row>
    <row r="2" ht="15.75" customHeight="1">
      <c r="A2" s="3"/>
      <c r="B2" s="4" t="s">
        <v>14</v>
      </c>
      <c r="C2" s="5"/>
      <c r="D2" s="5"/>
      <c r="E2" s="5"/>
      <c r="F2" s="5"/>
      <c r="G2" s="6"/>
      <c r="H2" s="3"/>
      <c r="I2" s="4" t="s">
        <v>15</v>
      </c>
      <c r="J2" s="5"/>
      <c r="K2" s="5"/>
      <c r="L2" s="5"/>
      <c r="M2" s="5"/>
      <c r="N2" s="6"/>
      <c r="O2" s="3"/>
      <c r="P2" s="4" t="s">
        <v>16</v>
      </c>
      <c r="Q2" s="5"/>
      <c r="R2" s="5"/>
      <c r="S2" s="5"/>
      <c r="T2" s="5"/>
      <c r="U2" s="5"/>
      <c r="V2" s="5"/>
      <c r="W2" s="5"/>
      <c r="X2" s="5"/>
      <c r="Y2" s="5"/>
      <c r="Z2" s="5"/>
      <c r="AA2" s="6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ht="15.75" customHeight="1">
      <c r="A3" s="3"/>
      <c r="B3" s="7" t="s">
        <v>0</v>
      </c>
      <c r="C3" s="7" t="s">
        <v>1</v>
      </c>
      <c r="D3" s="7" t="s">
        <v>2</v>
      </c>
      <c r="E3" s="7" t="s">
        <v>3</v>
      </c>
      <c r="F3" s="7" t="s">
        <v>6</v>
      </c>
      <c r="G3" s="7" t="s">
        <v>7</v>
      </c>
      <c r="H3" s="3"/>
      <c r="I3" s="7" t="s">
        <v>0</v>
      </c>
      <c r="J3" s="7" t="s">
        <v>1</v>
      </c>
      <c r="K3" s="7" t="s">
        <v>2</v>
      </c>
      <c r="L3" s="7" t="s">
        <v>3</v>
      </c>
      <c r="M3" s="7" t="s">
        <v>6</v>
      </c>
      <c r="N3" s="7" t="s">
        <v>7</v>
      </c>
      <c r="O3" s="3"/>
      <c r="P3" s="4" t="s">
        <v>0</v>
      </c>
      <c r="Q3" s="6"/>
      <c r="R3" s="4" t="s">
        <v>1</v>
      </c>
      <c r="S3" s="6"/>
      <c r="T3" s="4" t="s">
        <v>2</v>
      </c>
      <c r="U3" s="6"/>
      <c r="V3" s="4" t="s">
        <v>3</v>
      </c>
      <c r="W3" s="6"/>
      <c r="X3" s="4" t="s">
        <v>6</v>
      </c>
      <c r="Y3" s="6"/>
      <c r="Z3" s="4" t="s">
        <v>7</v>
      </c>
      <c r="AA3" s="6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ht="15.75" customHeight="1">
      <c r="A4" s="1"/>
      <c r="B4" s="8">
        <v>-45.0</v>
      </c>
      <c r="C4" s="1">
        <v>-250.0</v>
      </c>
      <c r="D4" s="1">
        <v>158.0</v>
      </c>
      <c r="E4" s="1">
        <v>137.0</v>
      </c>
      <c r="G4" s="9"/>
      <c r="I4" s="8">
        <f t="shared" ref="I4:L4" si="1">B4</f>
        <v>-45</v>
      </c>
      <c r="J4" s="1">
        <f t="shared" si="1"/>
        <v>-250</v>
      </c>
      <c r="K4" s="1">
        <f t="shared" si="1"/>
        <v>158</v>
      </c>
      <c r="L4" s="1">
        <f t="shared" si="1"/>
        <v>137</v>
      </c>
      <c r="M4" s="1">
        <v>0.0</v>
      </c>
      <c r="N4" s="9">
        <v>0.0</v>
      </c>
      <c r="P4" s="10" t="s">
        <v>20</v>
      </c>
      <c r="Q4" s="10" t="s">
        <v>21</v>
      </c>
      <c r="R4" s="10" t="s">
        <v>20</v>
      </c>
      <c r="S4" s="10" t="s">
        <v>21</v>
      </c>
      <c r="T4" s="11" t="s">
        <v>20</v>
      </c>
      <c r="U4" s="11" t="s">
        <v>21</v>
      </c>
      <c r="V4" s="11" t="s">
        <v>20</v>
      </c>
      <c r="W4" s="11" t="s">
        <v>21</v>
      </c>
      <c r="X4" s="11" t="s">
        <v>20</v>
      </c>
      <c r="Y4" s="11" t="s">
        <v>21</v>
      </c>
      <c r="Z4" s="11" t="s">
        <v>20</v>
      </c>
      <c r="AA4" s="11" t="s">
        <v>21</v>
      </c>
    </row>
    <row r="5" ht="15.75" customHeight="1">
      <c r="A5" s="1"/>
      <c r="B5" s="8">
        <v>-10.0</v>
      </c>
      <c r="C5" s="1">
        <f>200</f>
        <v>200</v>
      </c>
      <c r="D5" s="1">
        <v>-28.0</v>
      </c>
      <c r="E5" s="1">
        <v>-145.0</v>
      </c>
      <c r="G5" s="9"/>
      <c r="I5" s="8">
        <f t="shared" ref="I5:N5" si="2">I4+B5</f>
        <v>-55</v>
      </c>
      <c r="J5" s="1">
        <f t="shared" si="2"/>
        <v>-50</v>
      </c>
      <c r="K5" s="1">
        <f t="shared" si="2"/>
        <v>130</v>
      </c>
      <c r="L5" s="1">
        <f t="shared" si="2"/>
        <v>-8</v>
      </c>
      <c r="M5" s="1">
        <f t="shared" si="2"/>
        <v>0</v>
      </c>
      <c r="N5" s="9">
        <f t="shared" si="2"/>
        <v>0</v>
      </c>
      <c r="P5" s="8">
        <f>I4</f>
        <v>-45</v>
      </c>
      <c r="Q5" s="9">
        <f t="shared" ref="Q5:Q29" si="4">I4-P5</f>
        <v>0</v>
      </c>
      <c r="R5" s="1">
        <f>J4</f>
        <v>-250</v>
      </c>
      <c r="S5" s="9">
        <f t="shared" ref="S5:S29" si="5">J4-R5</f>
        <v>0</v>
      </c>
      <c r="T5" s="1">
        <f>K4</f>
        <v>158</v>
      </c>
      <c r="U5" s="9">
        <f t="shared" ref="U5:U29" si="6">K4-T5</f>
        <v>0</v>
      </c>
      <c r="V5" s="1">
        <f>L4</f>
        <v>137</v>
      </c>
      <c r="W5" s="9">
        <f t="shared" ref="W5:W29" si="7">L4-V5</f>
        <v>0</v>
      </c>
      <c r="X5" s="1">
        <f>M4</f>
        <v>0</v>
      </c>
      <c r="Y5" s="9">
        <f t="shared" ref="Y5:Y29" si="8">M4-X5</f>
        <v>0</v>
      </c>
      <c r="Z5" s="1">
        <f>N4</f>
        <v>0</v>
      </c>
      <c r="AA5" s="9">
        <f t="shared" ref="AA5:AA29" si="9">N4-Z5</f>
        <v>0</v>
      </c>
    </row>
    <row r="6" ht="15.75" customHeight="1">
      <c r="A6" s="1"/>
      <c r="B6" s="8">
        <v>-35.0</v>
      </c>
      <c r="C6" s="1">
        <v>-87.5</v>
      </c>
      <c r="D6" s="1">
        <v>67.5</v>
      </c>
      <c r="E6" s="1">
        <v>142.5</v>
      </c>
      <c r="G6" s="9">
        <v>-250.0</v>
      </c>
      <c r="I6" s="8">
        <f t="shared" ref="I6:N6" si="3">I5+B6</f>
        <v>-90</v>
      </c>
      <c r="J6" s="1">
        <f t="shared" si="3"/>
        <v>-137.5</v>
      </c>
      <c r="K6" s="1">
        <f t="shared" si="3"/>
        <v>197.5</v>
      </c>
      <c r="L6" s="1">
        <f t="shared" si="3"/>
        <v>134.5</v>
      </c>
      <c r="M6" s="1">
        <f t="shared" si="3"/>
        <v>0</v>
      </c>
      <c r="N6" s="9">
        <f t="shared" si="3"/>
        <v>-250</v>
      </c>
      <c r="P6" s="8">
        <f t="shared" ref="P6:P29" si="11">MAX(P5,I5)</f>
        <v>-45</v>
      </c>
      <c r="Q6" s="9">
        <f t="shared" si="4"/>
        <v>-10</v>
      </c>
      <c r="R6" s="1">
        <f t="shared" ref="R6:R29" si="12">max(R5,J5)</f>
        <v>-50</v>
      </c>
      <c r="S6" s="9">
        <f t="shared" si="5"/>
        <v>0</v>
      </c>
      <c r="T6" s="1">
        <f t="shared" ref="T6:T29" si="13">MAX(K5,T5)</f>
        <v>158</v>
      </c>
      <c r="U6" s="9">
        <f t="shared" si="6"/>
        <v>-28</v>
      </c>
      <c r="V6" s="1">
        <f t="shared" ref="V6:V29" si="14">MAX(V5,L5)</f>
        <v>137</v>
      </c>
      <c r="W6" s="9">
        <f t="shared" si="7"/>
        <v>-145</v>
      </c>
      <c r="X6" s="1">
        <f t="shared" ref="X6:X29" si="15">MAX(M5,X5)</f>
        <v>0</v>
      </c>
      <c r="Y6" s="9">
        <f t="shared" si="8"/>
        <v>0</v>
      </c>
      <c r="Z6" s="1">
        <f t="shared" ref="Z6:Z29" si="16">MAX(Z5,N5)</f>
        <v>0</v>
      </c>
      <c r="AA6" s="9">
        <f t="shared" si="9"/>
        <v>0</v>
      </c>
    </row>
    <row r="7" ht="15.75" customHeight="1">
      <c r="A7" s="1"/>
      <c r="B7" s="8">
        <v>-175.0</v>
      </c>
      <c r="C7" s="1">
        <v>52.5</v>
      </c>
      <c r="D7" s="1">
        <v>112.5</v>
      </c>
      <c r="E7" s="1">
        <v>167.5</v>
      </c>
      <c r="G7" s="9">
        <v>57.5</v>
      </c>
      <c r="I7" s="8">
        <f t="shared" ref="I7:N7" si="10">I6+B7</f>
        <v>-265</v>
      </c>
      <c r="J7" s="1">
        <f t="shared" si="10"/>
        <v>-85</v>
      </c>
      <c r="K7" s="1">
        <f t="shared" si="10"/>
        <v>310</v>
      </c>
      <c r="L7" s="1">
        <f t="shared" si="10"/>
        <v>302</v>
      </c>
      <c r="M7" s="1">
        <f t="shared" si="10"/>
        <v>0</v>
      </c>
      <c r="N7" s="9">
        <f t="shared" si="10"/>
        <v>-192.5</v>
      </c>
      <c r="P7" s="8">
        <f t="shared" si="11"/>
        <v>-45</v>
      </c>
      <c r="Q7" s="9">
        <f t="shared" si="4"/>
        <v>-45</v>
      </c>
      <c r="R7" s="1">
        <f t="shared" si="12"/>
        <v>-50</v>
      </c>
      <c r="S7" s="9">
        <f t="shared" si="5"/>
        <v>-87.5</v>
      </c>
      <c r="T7" s="1">
        <f t="shared" si="13"/>
        <v>197.5</v>
      </c>
      <c r="U7" s="9">
        <f t="shared" si="6"/>
        <v>0</v>
      </c>
      <c r="V7" s="1">
        <f t="shared" si="14"/>
        <v>137</v>
      </c>
      <c r="W7" s="9">
        <f t="shared" si="7"/>
        <v>-2.5</v>
      </c>
      <c r="X7" s="1">
        <f t="shared" si="15"/>
        <v>0</v>
      </c>
      <c r="Y7" s="9">
        <f t="shared" si="8"/>
        <v>0</v>
      </c>
      <c r="Z7" s="1">
        <f t="shared" si="16"/>
        <v>0</v>
      </c>
      <c r="AA7" s="9">
        <f t="shared" si="9"/>
        <v>-250</v>
      </c>
    </row>
    <row r="8" ht="15.75" customHeight="1">
      <c r="B8" s="8">
        <f>110</f>
        <v>110</v>
      </c>
      <c r="C8" s="1">
        <v>227.5</v>
      </c>
      <c r="D8" s="1">
        <v>0.0</v>
      </c>
      <c r="E8" s="1">
        <v>-167.5</v>
      </c>
      <c r="G8" s="9">
        <v>-12.5</v>
      </c>
      <c r="I8" s="8">
        <f t="shared" ref="I8:N8" si="17">I7+B8</f>
        <v>-155</v>
      </c>
      <c r="J8" s="1">
        <f t="shared" si="17"/>
        <v>142.5</v>
      </c>
      <c r="K8" s="1">
        <f t="shared" si="17"/>
        <v>310</v>
      </c>
      <c r="L8" s="1">
        <f t="shared" si="17"/>
        <v>134.5</v>
      </c>
      <c r="M8" s="1">
        <f t="shared" si="17"/>
        <v>0</v>
      </c>
      <c r="N8" s="9">
        <f t="shared" si="17"/>
        <v>-205</v>
      </c>
      <c r="P8" s="8">
        <f t="shared" si="11"/>
        <v>-45</v>
      </c>
      <c r="Q8" s="9">
        <f t="shared" si="4"/>
        <v>-220</v>
      </c>
      <c r="R8" s="1">
        <f t="shared" si="12"/>
        <v>-50</v>
      </c>
      <c r="S8" s="9">
        <f t="shared" si="5"/>
        <v>-35</v>
      </c>
      <c r="T8" s="1">
        <f t="shared" si="13"/>
        <v>310</v>
      </c>
      <c r="U8" s="9">
        <f t="shared" si="6"/>
        <v>0</v>
      </c>
      <c r="V8" s="1">
        <f t="shared" si="14"/>
        <v>302</v>
      </c>
      <c r="W8" s="9">
        <f t="shared" si="7"/>
        <v>0</v>
      </c>
      <c r="X8" s="1">
        <f t="shared" si="15"/>
        <v>0</v>
      </c>
      <c r="Y8" s="9">
        <f t="shared" si="8"/>
        <v>0</v>
      </c>
      <c r="Z8" s="1">
        <f t="shared" si="16"/>
        <v>0</v>
      </c>
      <c r="AA8" s="9">
        <f t="shared" si="9"/>
        <v>-192.5</v>
      </c>
    </row>
    <row r="9" ht="15.75" customHeight="1">
      <c r="A9" s="1"/>
      <c r="B9" s="8">
        <v>-250.0</v>
      </c>
      <c r="C9" s="1">
        <v>-112.5</v>
      </c>
      <c r="D9" s="1">
        <v>447.5</v>
      </c>
      <c r="E9" s="1">
        <v>-85.0</v>
      </c>
      <c r="G9" s="9"/>
      <c r="I9" s="8">
        <f t="shared" ref="I9:N9" si="18">I8+B9</f>
        <v>-405</v>
      </c>
      <c r="J9" s="1">
        <f t="shared" si="18"/>
        <v>30</v>
      </c>
      <c r="K9" s="1">
        <f t="shared" si="18"/>
        <v>757.5</v>
      </c>
      <c r="L9" s="1">
        <f t="shared" si="18"/>
        <v>49.5</v>
      </c>
      <c r="M9" s="1">
        <f t="shared" si="18"/>
        <v>0</v>
      </c>
      <c r="N9" s="9">
        <f t="shared" si="18"/>
        <v>-205</v>
      </c>
      <c r="P9" s="8">
        <f t="shared" si="11"/>
        <v>-45</v>
      </c>
      <c r="Q9" s="9">
        <f t="shared" si="4"/>
        <v>-110</v>
      </c>
      <c r="R9" s="1">
        <f t="shared" si="12"/>
        <v>142.5</v>
      </c>
      <c r="S9" s="9">
        <f t="shared" si="5"/>
        <v>0</v>
      </c>
      <c r="T9" s="1">
        <f t="shared" si="13"/>
        <v>310</v>
      </c>
      <c r="U9" s="9">
        <f t="shared" si="6"/>
        <v>0</v>
      </c>
      <c r="V9" s="1">
        <f t="shared" si="14"/>
        <v>302</v>
      </c>
      <c r="W9" s="9">
        <f t="shared" si="7"/>
        <v>-167.5</v>
      </c>
      <c r="X9" s="1">
        <f t="shared" si="15"/>
        <v>0</v>
      </c>
      <c r="Y9" s="9">
        <f t="shared" si="8"/>
        <v>0</v>
      </c>
      <c r="Z9" s="1">
        <f t="shared" si="16"/>
        <v>0</v>
      </c>
      <c r="AA9" s="9">
        <f t="shared" si="9"/>
        <v>-205</v>
      </c>
    </row>
    <row r="10" ht="15.75" customHeight="1">
      <c r="A10" s="1"/>
      <c r="B10" s="8">
        <v>200.0</v>
      </c>
      <c r="C10" s="1">
        <v>-250.0</v>
      </c>
      <c r="D10" s="1">
        <v>-222.5</v>
      </c>
      <c r="E10" s="1">
        <v>272.5</v>
      </c>
      <c r="G10" s="9"/>
      <c r="I10" s="8">
        <f t="shared" ref="I10:N10" si="19">I9+B10</f>
        <v>-205</v>
      </c>
      <c r="J10" s="1">
        <f t="shared" si="19"/>
        <v>-220</v>
      </c>
      <c r="K10" s="1">
        <f t="shared" si="19"/>
        <v>535</v>
      </c>
      <c r="L10" s="1">
        <f t="shared" si="19"/>
        <v>322</v>
      </c>
      <c r="M10" s="1">
        <f t="shared" si="19"/>
        <v>0</v>
      </c>
      <c r="N10" s="9">
        <f t="shared" si="19"/>
        <v>-205</v>
      </c>
      <c r="P10" s="8">
        <f t="shared" si="11"/>
        <v>-45</v>
      </c>
      <c r="Q10" s="9">
        <f t="shared" si="4"/>
        <v>-360</v>
      </c>
      <c r="R10" s="1">
        <f t="shared" si="12"/>
        <v>142.5</v>
      </c>
      <c r="S10" s="9">
        <f t="shared" si="5"/>
        <v>-112.5</v>
      </c>
      <c r="T10" s="1">
        <f t="shared" si="13"/>
        <v>757.5</v>
      </c>
      <c r="U10" s="9">
        <f t="shared" si="6"/>
        <v>0</v>
      </c>
      <c r="V10" s="1">
        <f t="shared" si="14"/>
        <v>302</v>
      </c>
      <c r="W10" s="9">
        <f t="shared" si="7"/>
        <v>-252.5</v>
      </c>
      <c r="X10" s="1">
        <f t="shared" si="15"/>
        <v>0</v>
      </c>
      <c r="Y10" s="9">
        <f t="shared" si="8"/>
        <v>0</v>
      </c>
      <c r="Z10" s="1">
        <f t="shared" si="16"/>
        <v>0</v>
      </c>
      <c r="AA10" s="9">
        <f t="shared" si="9"/>
        <v>-205</v>
      </c>
    </row>
    <row r="11" ht="15.75" customHeight="1">
      <c r="A11" s="1"/>
      <c r="B11" s="8">
        <v>117.5</v>
      </c>
      <c r="C11" s="1">
        <v>112.5</v>
      </c>
      <c r="D11" s="1">
        <v>-250.0</v>
      </c>
      <c r="E11" s="1">
        <v>20.0</v>
      </c>
      <c r="G11" s="9"/>
      <c r="I11" s="8">
        <f t="shared" ref="I11:N11" si="20">I10+B11</f>
        <v>-87.5</v>
      </c>
      <c r="J11" s="1">
        <f t="shared" si="20"/>
        <v>-107.5</v>
      </c>
      <c r="K11" s="1">
        <f t="shared" si="20"/>
        <v>285</v>
      </c>
      <c r="L11" s="1">
        <f t="shared" si="20"/>
        <v>342</v>
      </c>
      <c r="M11" s="1">
        <f t="shared" si="20"/>
        <v>0</v>
      </c>
      <c r="N11" s="9">
        <f t="shared" si="20"/>
        <v>-205</v>
      </c>
      <c r="P11" s="8">
        <f t="shared" si="11"/>
        <v>-45</v>
      </c>
      <c r="Q11" s="9">
        <f t="shared" si="4"/>
        <v>-160</v>
      </c>
      <c r="R11" s="1">
        <f t="shared" si="12"/>
        <v>142.5</v>
      </c>
      <c r="S11" s="9">
        <f t="shared" si="5"/>
        <v>-362.5</v>
      </c>
      <c r="T11" s="1">
        <f t="shared" si="13"/>
        <v>757.5</v>
      </c>
      <c r="U11" s="9">
        <f t="shared" si="6"/>
        <v>-222.5</v>
      </c>
      <c r="V11" s="1">
        <f t="shared" si="14"/>
        <v>322</v>
      </c>
      <c r="W11" s="9">
        <f t="shared" si="7"/>
        <v>0</v>
      </c>
      <c r="X11" s="1">
        <f t="shared" si="15"/>
        <v>0</v>
      </c>
      <c r="Y11" s="9">
        <f t="shared" si="8"/>
        <v>0</v>
      </c>
      <c r="Z11" s="1">
        <f t="shared" si="16"/>
        <v>0</v>
      </c>
      <c r="AA11" s="9">
        <f t="shared" si="9"/>
        <v>-205</v>
      </c>
    </row>
    <row r="12" ht="15.75" customHeight="1">
      <c r="A12" s="1"/>
      <c r="B12" s="8">
        <v>242.5</v>
      </c>
      <c r="C12" s="1">
        <v>-2.5</v>
      </c>
      <c r="D12" s="1">
        <v>10.0</v>
      </c>
      <c r="E12" s="1">
        <v>-250.0</v>
      </c>
      <c r="G12" s="9"/>
      <c r="I12" s="8">
        <f t="shared" ref="I12:N12" si="21">I11+B12</f>
        <v>155</v>
      </c>
      <c r="J12" s="1">
        <f t="shared" si="21"/>
        <v>-110</v>
      </c>
      <c r="K12" s="1">
        <f t="shared" si="21"/>
        <v>295</v>
      </c>
      <c r="L12" s="1">
        <f t="shared" si="21"/>
        <v>92</v>
      </c>
      <c r="M12" s="1">
        <f t="shared" si="21"/>
        <v>0</v>
      </c>
      <c r="N12" s="9">
        <f t="shared" si="21"/>
        <v>-205</v>
      </c>
      <c r="P12" s="8">
        <f t="shared" si="11"/>
        <v>-45</v>
      </c>
      <c r="Q12" s="9">
        <f t="shared" si="4"/>
        <v>-42.5</v>
      </c>
      <c r="R12" s="1">
        <f t="shared" si="12"/>
        <v>142.5</v>
      </c>
      <c r="S12" s="9">
        <f t="shared" si="5"/>
        <v>-250</v>
      </c>
      <c r="T12" s="1">
        <f t="shared" si="13"/>
        <v>757.5</v>
      </c>
      <c r="U12" s="9">
        <f t="shared" si="6"/>
        <v>-472.5</v>
      </c>
      <c r="V12" s="1">
        <f t="shared" si="14"/>
        <v>342</v>
      </c>
      <c r="W12" s="9">
        <f t="shared" si="7"/>
        <v>0</v>
      </c>
      <c r="X12" s="1">
        <f t="shared" si="15"/>
        <v>0</v>
      </c>
      <c r="Y12" s="9">
        <f t="shared" si="8"/>
        <v>0</v>
      </c>
      <c r="Z12" s="1">
        <f t="shared" si="16"/>
        <v>0</v>
      </c>
      <c r="AA12" s="9">
        <f t="shared" si="9"/>
        <v>-205</v>
      </c>
    </row>
    <row r="13" ht="15.75" customHeight="1">
      <c r="A13" s="1"/>
      <c r="B13" s="8">
        <v>222.5</v>
      </c>
      <c r="C13" s="1">
        <v>-12.5</v>
      </c>
      <c r="D13" s="1">
        <v>-250.0</v>
      </c>
      <c r="E13" s="1">
        <v>152.5</v>
      </c>
      <c r="G13" s="9"/>
      <c r="I13" s="8">
        <f t="shared" ref="I13:N13" si="22">I12+B13</f>
        <v>377.5</v>
      </c>
      <c r="J13" s="1">
        <f t="shared" si="22"/>
        <v>-122.5</v>
      </c>
      <c r="K13" s="1">
        <f t="shared" si="22"/>
        <v>45</v>
      </c>
      <c r="L13" s="1">
        <f t="shared" si="22"/>
        <v>244.5</v>
      </c>
      <c r="M13" s="1">
        <f t="shared" si="22"/>
        <v>0</v>
      </c>
      <c r="N13" s="9">
        <f t="shared" si="22"/>
        <v>-205</v>
      </c>
      <c r="P13" s="8">
        <f t="shared" si="11"/>
        <v>155</v>
      </c>
      <c r="Q13" s="9">
        <f t="shared" si="4"/>
        <v>0</v>
      </c>
      <c r="R13" s="1">
        <f t="shared" si="12"/>
        <v>142.5</v>
      </c>
      <c r="S13" s="9">
        <f t="shared" si="5"/>
        <v>-252.5</v>
      </c>
      <c r="T13" s="1">
        <f t="shared" si="13"/>
        <v>757.5</v>
      </c>
      <c r="U13" s="9">
        <f t="shared" si="6"/>
        <v>-462.5</v>
      </c>
      <c r="V13" s="1">
        <f t="shared" si="14"/>
        <v>342</v>
      </c>
      <c r="W13" s="9">
        <f t="shared" si="7"/>
        <v>-250</v>
      </c>
      <c r="X13" s="1">
        <f t="shared" si="15"/>
        <v>0</v>
      </c>
      <c r="Y13" s="9">
        <f t="shared" si="8"/>
        <v>0</v>
      </c>
      <c r="Z13" s="1">
        <f t="shared" si="16"/>
        <v>0</v>
      </c>
      <c r="AA13" s="9">
        <f t="shared" si="9"/>
        <v>-205</v>
      </c>
    </row>
    <row r="14" ht="15.75" customHeight="1">
      <c r="A14" s="1"/>
      <c r="B14" s="8">
        <v>107.5</v>
      </c>
      <c r="C14" s="1">
        <v>10.0</v>
      </c>
      <c r="D14" s="1">
        <v>132.5</v>
      </c>
      <c r="E14" s="1">
        <v>-250.0</v>
      </c>
      <c r="G14" s="9"/>
      <c r="I14" s="8">
        <f t="shared" ref="I14:N14" si="23">I13+B14</f>
        <v>485</v>
      </c>
      <c r="J14" s="1">
        <f t="shared" si="23"/>
        <v>-112.5</v>
      </c>
      <c r="K14" s="1">
        <f t="shared" si="23"/>
        <v>177.5</v>
      </c>
      <c r="L14" s="1">
        <f t="shared" si="23"/>
        <v>-5.5</v>
      </c>
      <c r="M14" s="1">
        <f t="shared" si="23"/>
        <v>0</v>
      </c>
      <c r="N14" s="9">
        <f t="shared" si="23"/>
        <v>-205</v>
      </c>
      <c r="P14" s="8">
        <f t="shared" si="11"/>
        <v>377.5</v>
      </c>
      <c r="Q14" s="9">
        <f t="shared" si="4"/>
        <v>0</v>
      </c>
      <c r="R14" s="1">
        <f t="shared" si="12"/>
        <v>142.5</v>
      </c>
      <c r="S14" s="9">
        <f t="shared" si="5"/>
        <v>-265</v>
      </c>
      <c r="T14" s="1">
        <f t="shared" si="13"/>
        <v>757.5</v>
      </c>
      <c r="U14" s="9">
        <f t="shared" si="6"/>
        <v>-712.5</v>
      </c>
      <c r="V14" s="1">
        <f t="shared" si="14"/>
        <v>342</v>
      </c>
      <c r="W14" s="9">
        <f t="shared" si="7"/>
        <v>-97.5</v>
      </c>
      <c r="X14" s="1">
        <f t="shared" si="15"/>
        <v>0</v>
      </c>
      <c r="Y14" s="9">
        <f t="shared" si="8"/>
        <v>0</v>
      </c>
      <c r="Z14" s="1">
        <f t="shared" si="16"/>
        <v>0</v>
      </c>
      <c r="AA14" s="9">
        <f t="shared" si="9"/>
        <v>-205</v>
      </c>
    </row>
    <row r="15" ht="15.75" customHeight="1">
      <c r="A15" s="1"/>
      <c r="B15" s="8">
        <v>-100.0</v>
      </c>
      <c r="C15" s="1">
        <v>102.0</v>
      </c>
      <c r="E15" s="1">
        <v>0.0</v>
      </c>
      <c r="F15" s="1">
        <v>-2.0</v>
      </c>
      <c r="G15" s="9">
        <v>0.0</v>
      </c>
      <c r="I15" s="8">
        <f t="shared" ref="I15:N15" si="24">I14+B15</f>
        <v>385</v>
      </c>
      <c r="J15" s="1">
        <f t="shared" si="24"/>
        <v>-10.5</v>
      </c>
      <c r="K15" s="1">
        <f t="shared" si="24"/>
        <v>177.5</v>
      </c>
      <c r="L15" s="1">
        <f t="shared" si="24"/>
        <v>-5.5</v>
      </c>
      <c r="M15" s="1">
        <f t="shared" si="24"/>
        <v>-2</v>
      </c>
      <c r="N15" s="9">
        <f t="shared" si="24"/>
        <v>-205</v>
      </c>
      <c r="P15" s="8">
        <f t="shared" si="11"/>
        <v>485</v>
      </c>
      <c r="Q15" s="9">
        <f t="shared" si="4"/>
        <v>0</v>
      </c>
      <c r="R15" s="1">
        <f t="shared" si="12"/>
        <v>142.5</v>
      </c>
      <c r="S15" s="9">
        <f t="shared" si="5"/>
        <v>-255</v>
      </c>
      <c r="T15" s="1">
        <f t="shared" si="13"/>
        <v>757.5</v>
      </c>
      <c r="U15" s="9">
        <f t="shared" si="6"/>
        <v>-580</v>
      </c>
      <c r="V15" s="1">
        <f t="shared" si="14"/>
        <v>342</v>
      </c>
      <c r="W15" s="9">
        <f t="shared" si="7"/>
        <v>-347.5</v>
      </c>
      <c r="X15" s="1">
        <f t="shared" si="15"/>
        <v>0</v>
      </c>
      <c r="Y15" s="9">
        <f t="shared" si="8"/>
        <v>0</v>
      </c>
      <c r="Z15" s="1">
        <f t="shared" si="16"/>
        <v>0</v>
      </c>
      <c r="AA15" s="9">
        <f t="shared" si="9"/>
        <v>-205</v>
      </c>
    </row>
    <row r="16" ht="15.75" customHeight="1">
      <c r="A16" s="1"/>
      <c r="B16" s="8">
        <v>-12.0</v>
      </c>
      <c r="C16" s="1">
        <v>-38.0</v>
      </c>
      <c r="E16" s="1">
        <v>0.0</v>
      </c>
      <c r="F16" s="1">
        <v>50.0</v>
      </c>
      <c r="G16" s="9">
        <v>0.0</v>
      </c>
      <c r="I16" s="8">
        <f t="shared" ref="I16:N16" si="25">I15+B16</f>
        <v>373</v>
      </c>
      <c r="J16" s="1">
        <f t="shared" si="25"/>
        <v>-48.5</v>
      </c>
      <c r="K16" s="1">
        <f t="shared" si="25"/>
        <v>177.5</v>
      </c>
      <c r="L16" s="1">
        <f t="shared" si="25"/>
        <v>-5.5</v>
      </c>
      <c r="M16" s="1">
        <f t="shared" si="25"/>
        <v>48</v>
      </c>
      <c r="N16" s="9">
        <f t="shared" si="25"/>
        <v>-205</v>
      </c>
      <c r="P16" s="8">
        <f t="shared" si="11"/>
        <v>485</v>
      </c>
      <c r="Q16" s="9">
        <f t="shared" si="4"/>
        <v>-100</v>
      </c>
      <c r="R16" s="1">
        <f t="shared" si="12"/>
        <v>142.5</v>
      </c>
      <c r="S16" s="9">
        <f t="shared" si="5"/>
        <v>-153</v>
      </c>
      <c r="T16" s="1">
        <f t="shared" si="13"/>
        <v>757.5</v>
      </c>
      <c r="U16" s="9">
        <f t="shared" si="6"/>
        <v>-580</v>
      </c>
      <c r="V16" s="1">
        <f t="shared" si="14"/>
        <v>342</v>
      </c>
      <c r="W16" s="9">
        <f t="shared" si="7"/>
        <v>-347.5</v>
      </c>
      <c r="X16" s="1">
        <f t="shared" si="15"/>
        <v>0</v>
      </c>
      <c r="Y16" s="9">
        <f t="shared" si="8"/>
        <v>-2</v>
      </c>
      <c r="Z16" s="1">
        <f t="shared" si="16"/>
        <v>0</v>
      </c>
      <c r="AA16" s="9">
        <f t="shared" si="9"/>
        <v>-205</v>
      </c>
    </row>
    <row r="17" ht="15.75" customHeight="1">
      <c r="A17" s="1"/>
      <c r="B17" s="8">
        <v>-42.5</v>
      </c>
      <c r="C17" s="1">
        <v>-30.0</v>
      </c>
      <c r="E17" s="1">
        <v>0.0</v>
      </c>
      <c r="F17" s="1">
        <v>-155.0</v>
      </c>
      <c r="G17" s="9">
        <v>25.0</v>
      </c>
      <c r="I17" s="8">
        <f t="shared" ref="I17:N17" si="26">I16+B17</f>
        <v>330.5</v>
      </c>
      <c r="J17" s="1">
        <f t="shared" si="26"/>
        <v>-78.5</v>
      </c>
      <c r="K17" s="1">
        <f t="shared" si="26"/>
        <v>177.5</v>
      </c>
      <c r="L17" s="1">
        <f t="shared" si="26"/>
        <v>-5.5</v>
      </c>
      <c r="M17" s="1">
        <f t="shared" si="26"/>
        <v>-107</v>
      </c>
      <c r="N17" s="9">
        <f t="shared" si="26"/>
        <v>-180</v>
      </c>
      <c r="P17" s="8">
        <f t="shared" si="11"/>
        <v>485</v>
      </c>
      <c r="Q17" s="9">
        <f t="shared" si="4"/>
        <v>-112</v>
      </c>
      <c r="R17" s="1">
        <f t="shared" si="12"/>
        <v>142.5</v>
      </c>
      <c r="S17" s="9">
        <f t="shared" si="5"/>
        <v>-191</v>
      </c>
      <c r="T17" s="1">
        <f t="shared" si="13"/>
        <v>757.5</v>
      </c>
      <c r="U17" s="9">
        <f t="shared" si="6"/>
        <v>-580</v>
      </c>
      <c r="V17" s="1">
        <f t="shared" si="14"/>
        <v>342</v>
      </c>
      <c r="W17" s="9">
        <f t="shared" si="7"/>
        <v>-347.5</v>
      </c>
      <c r="X17" s="1">
        <f t="shared" si="15"/>
        <v>48</v>
      </c>
      <c r="Y17" s="9">
        <f t="shared" si="8"/>
        <v>0</v>
      </c>
      <c r="Z17" s="1">
        <f t="shared" si="16"/>
        <v>0</v>
      </c>
      <c r="AA17" s="9">
        <f t="shared" si="9"/>
        <v>-205</v>
      </c>
    </row>
    <row r="18" ht="15.75" customHeight="1">
      <c r="A18" s="1"/>
      <c r="B18" s="8">
        <v>72.5</v>
      </c>
      <c r="C18" s="1">
        <v>0.0</v>
      </c>
      <c r="E18" s="1">
        <v>10.0</v>
      </c>
      <c r="F18" s="1">
        <v>-5.0</v>
      </c>
      <c r="G18" s="9">
        <v>-7.5</v>
      </c>
      <c r="I18" s="8">
        <f t="shared" ref="I18:N18" si="27">I17+B18</f>
        <v>403</v>
      </c>
      <c r="J18" s="1">
        <f t="shared" si="27"/>
        <v>-78.5</v>
      </c>
      <c r="K18" s="1">
        <f t="shared" si="27"/>
        <v>177.5</v>
      </c>
      <c r="L18" s="1">
        <f t="shared" si="27"/>
        <v>4.5</v>
      </c>
      <c r="M18" s="1">
        <f t="shared" si="27"/>
        <v>-112</v>
      </c>
      <c r="N18" s="9">
        <f t="shared" si="27"/>
        <v>-187.5</v>
      </c>
      <c r="P18" s="8">
        <f t="shared" si="11"/>
        <v>485</v>
      </c>
      <c r="Q18" s="9">
        <f t="shared" si="4"/>
        <v>-154.5</v>
      </c>
      <c r="R18" s="1">
        <f t="shared" si="12"/>
        <v>142.5</v>
      </c>
      <c r="S18" s="9">
        <f t="shared" si="5"/>
        <v>-221</v>
      </c>
      <c r="T18" s="1">
        <f t="shared" si="13"/>
        <v>757.5</v>
      </c>
      <c r="U18" s="9">
        <f t="shared" si="6"/>
        <v>-580</v>
      </c>
      <c r="V18" s="1">
        <f t="shared" si="14"/>
        <v>342</v>
      </c>
      <c r="W18" s="9">
        <f t="shared" si="7"/>
        <v>-347.5</v>
      </c>
      <c r="X18" s="1">
        <f t="shared" si="15"/>
        <v>48</v>
      </c>
      <c r="Y18" s="9">
        <f t="shared" si="8"/>
        <v>-155</v>
      </c>
      <c r="Z18" s="1">
        <f t="shared" si="16"/>
        <v>0</v>
      </c>
      <c r="AA18" s="9">
        <f t="shared" si="9"/>
        <v>-180</v>
      </c>
    </row>
    <row r="19" ht="15.75" customHeight="1">
      <c r="A19" s="1"/>
      <c r="B19" s="8">
        <v>0.0</v>
      </c>
      <c r="C19" s="1">
        <v>-250.0</v>
      </c>
      <c r="E19" s="1">
        <v>0.0</v>
      </c>
      <c r="F19" s="1">
        <v>0.0</v>
      </c>
      <c r="G19" s="9">
        <v>0.0</v>
      </c>
      <c r="I19" s="8">
        <f t="shared" ref="I19:N19" si="28">I18+B19</f>
        <v>403</v>
      </c>
      <c r="J19" s="1">
        <f t="shared" si="28"/>
        <v>-328.5</v>
      </c>
      <c r="K19" s="1">
        <f t="shared" si="28"/>
        <v>177.5</v>
      </c>
      <c r="L19" s="1">
        <f t="shared" si="28"/>
        <v>4.5</v>
      </c>
      <c r="M19" s="1">
        <f t="shared" si="28"/>
        <v>-112</v>
      </c>
      <c r="N19" s="9">
        <f t="shared" si="28"/>
        <v>-187.5</v>
      </c>
      <c r="P19" s="8">
        <f t="shared" si="11"/>
        <v>485</v>
      </c>
      <c r="Q19" s="9">
        <f t="shared" si="4"/>
        <v>-82</v>
      </c>
      <c r="R19" s="1">
        <f t="shared" si="12"/>
        <v>142.5</v>
      </c>
      <c r="S19" s="9">
        <f t="shared" si="5"/>
        <v>-221</v>
      </c>
      <c r="T19" s="1">
        <f t="shared" si="13"/>
        <v>757.5</v>
      </c>
      <c r="U19" s="9">
        <f t="shared" si="6"/>
        <v>-580</v>
      </c>
      <c r="V19" s="1">
        <f t="shared" si="14"/>
        <v>342</v>
      </c>
      <c r="W19" s="9">
        <f t="shared" si="7"/>
        <v>-337.5</v>
      </c>
      <c r="X19" s="1">
        <f t="shared" si="15"/>
        <v>48</v>
      </c>
      <c r="Y19" s="9">
        <f t="shared" si="8"/>
        <v>-160</v>
      </c>
      <c r="Z19" s="1">
        <f t="shared" si="16"/>
        <v>0</v>
      </c>
      <c r="AA19" s="9">
        <f t="shared" si="9"/>
        <v>-187.5</v>
      </c>
    </row>
    <row r="20" ht="15.75" customHeight="1">
      <c r="A20" s="1"/>
      <c r="B20" s="8">
        <v>62.5</v>
      </c>
      <c r="C20" s="1">
        <v>-77.5</v>
      </c>
      <c r="E20" s="1">
        <v>100.0</v>
      </c>
      <c r="F20" s="1">
        <v>5.0</v>
      </c>
      <c r="G20" s="9">
        <v>130.0</v>
      </c>
      <c r="I20" s="8">
        <f t="shared" ref="I20:N20" si="29">I19+B20</f>
        <v>465.5</v>
      </c>
      <c r="J20" s="1">
        <f t="shared" si="29"/>
        <v>-406</v>
      </c>
      <c r="K20" s="1">
        <f t="shared" si="29"/>
        <v>177.5</v>
      </c>
      <c r="L20" s="1">
        <f t="shared" si="29"/>
        <v>104.5</v>
      </c>
      <c r="M20" s="1">
        <f t="shared" si="29"/>
        <v>-107</v>
      </c>
      <c r="N20" s="9">
        <f t="shared" si="29"/>
        <v>-57.5</v>
      </c>
      <c r="P20" s="8">
        <f t="shared" si="11"/>
        <v>485</v>
      </c>
      <c r="Q20" s="9">
        <f t="shared" si="4"/>
        <v>-82</v>
      </c>
      <c r="R20" s="1">
        <f t="shared" si="12"/>
        <v>142.5</v>
      </c>
      <c r="S20" s="9">
        <f t="shared" si="5"/>
        <v>-471</v>
      </c>
      <c r="T20" s="1">
        <f t="shared" si="13"/>
        <v>757.5</v>
      </c>
      <c r="U20" s="9">
        <f t="shared" si="6"/>
        <v>-580</v>
      </c>
      <c r="V20" s="1">
        <f t="shared" si="14"/>
        <v>342</v>
      </c>
      <c r="W20" s="9">
        <f t="shared" si="7"/>
        <v>-337.5</v>
      </c>
      <c r="X20" s="1">
        <f t="shared" si="15"/>
        <v>48</v>
      </c>
      <c r="Y20" s="9">
        <f t="shared" si="8"/>
        <v>-160</v>
      </c>
      <c r="Z20" s="1">
        <f t="shared" si="16"/>
        <v>0</v>
      </c>
      <c r="AA20" s="9">
        <f t="shared" si="9"/>
        <v>-187.5</v>
      </c>
    </row>
    <row r="21" ht="15.75" customHeight="1">
      <c r="A21" s="1"/>
      <c r="B21" s="8">
        <v>-140.0</v>
      </c>
      <c r="C21" s="1">
        <v>385.0</v>
      </c>
      <c r="E21" s="1">
        <v>50.0</v>
      </c>
      <c r="F21" s="1">
        <v>0.0</v>
      </c>
      <c r="G21" s="9">
        <v>-155.0</v>
      </c>
      <c r="I21" s="8">
        <f t="shared" ref="I21:N21" si="30">I20+B21</f>
        <v>325.5</v>
      </c>
      <c r="J21" s="1">
        <f t="shared" si="30"/>
        <v>-21</v>
      </c>
      <c r="K21" s="1">
        <f t="shared" si="30"/>
        <v>177.5</v>
      </c>
      <c r="L21" s="1">
        <f t="shared" si="30"/>
        <v>154.5</v>
      </c>
      <c r="M21" s="1">
        <f t="shared" si="30"/>
        <v>-107</v>
      </c>
      <c r="N21" s="9">
        <f t="shared" si="30"/>
        <v>-212.5</v>
      </c>
      <c r="P21" s="8">
        <f t="shared" si="11"/>
        <v>485</v>
      </c>
      <c r="Q21" s="9">
        <f t="shared" si="4"/>
        <v>-19.5</v>
      </c>
      <c r="R21" s="1">
        <f t="shared" si="12"/>
        <v>142.5</v>
      </c>
      <c r="S21" s="9">
        <f t="shared" si="5"/>
        <v>-548.5</v>
      </c>
      <c r="T21" s="1">
        <f t="shared" si="13"/>
        <v>757.5</v>
      </c>
      <c r="U21" s="9">
        <f t="shared" si="6"/>
        <v>-580</v>
      </c>
      <c r="V21" s="1">
        <f t="shared" si="14"/>
        <v>342</v>
      </c>
      <c r="W21" s="9">
        <f t="shared" si="7"/>
        <v>-237.5</v>
      </c>
      <c r="X21" s="1">
        <f t="shared" si="15"/>
        <v>48</v>
      </c>
      <c r="Y21" s="9">
        <f t="shared" si="8"/>
        <v>-155</v>
      </c>
      <c r="Z21" s="1">
        <f t="shared" si="16"/>
        <v>0</v>
      </c>
      <c r="AA21" s="9">
        <f t="shared" si="9"/>
        <v>-57.5</v>
      </c>
    </row>
    <row r="22" ht="15.75" customHeight="1">
      <c r="A22" s="1"/>
      <c r="B22" s="8">
        <v>-47.5</v>
      </c>
      <c r="C22" s="1">
        <v>-67.5</v>
      </c>
      <c r="E22" s="1">
        <v>-250.0</v>
      </c>
      <c r="F22" s="1">
        <v>-102.5</v>
      </c>
      <c r="G22" s="9">
        <v>-10.0</v>
      </c>
      <c r="I22" s="8">
        <f t="shared" ref="I22:N22" si="31">I21+B22</f>
        <v>278</v>
      </c>
      <c r="J22" s="1">
        <f t="shared" si="31"/>
        <v>-88.5</v>
      </c>
      <c r="K22" s="1">
        <f t="shared" si="31"/>
        <v>177.5</v>
      </c>
      <c r="L22" s="1">
        <f t="shared" si="31"/>
        <v>-95.5</v>
      </c>
      <c r="M22" s="1">
        <f t="shared" si="31"/>
        <v>-209.5</v>
      </c>
      <c r="N22" s="9">
        <f t="shared" si="31"/>
        <v>-222.5</v>
      </c>
      <c r="P22" s="8">
        <f t="shared" si="11"/>
        <v>485</v>
      </c>
      <c r="Q22" s="9">
        <f t="shared" si="4"/>
        <v>-159.5</v>
      </c>
      <c r="R22" s="1">
        <f t="shared" si="12"/>
        <v>142.5</v>
      </c>
      <c r="S22" s="9">
        <f t="shared" si="5"/>
        <v>-163.5</v>
      </c>
      <c r="T22" s="1">
        <f t="shared" si="13"/>
        <v>757.5</v>
      </c>
      <c r="U22" s="9">
        <f t="shared" si="6"/>
        <v>-580</v>
      </c>
      <c r="V22" s="1">
        <f t="shared" si="14"/>
        <v>342</v>
      </c>
      <c r="W22" s="9">
        <f t="shared" si="7"/>
        <v>-187.5</v>
      </c>
      <c r="X22" s="1">
        <f t="shared" si="15"/>
        <v>48</v>
      </c>
      <c r="Y22" s="9">
        <f t="shared" si="8"/>
        <v>-155</v>
      </c>
      <c r="Z22" s="1">
        <f t="shared" si="16"/>
        <v>0</v>
      </c>
      <c r="AA22" s="9">
        <f t="shared" si="9"/>
        <v>-212.5</v>
      </c>
    </row>
    <row r="23" ht="15.75" customHeight="1">
      <c r="A23" s="1"/>
      <c r="B23" s="8">
        <v>-250.0</v>
      </c>
      <c r="C23" s="1">
        <v>-37.5</v>
      </c>
      <c r="E23" s="1">
        <v>-25.0</v>
      </c>
      <c r="F23" s="1">
        <v>-42.5</v>
      </c>
      <c r="G23" s="9">
        <v>-85.0</v>
      </c>
      <c r="I23" s="8">
        <f t="shared" ref="I23:N23" si="32">I22+B23</f>
        <v>28</v>
      </c>
      <c r="J23" s="1">
        <f t="shared" si="32"/>
        <v>-126</v>
      </c>
      <c r="K23" s="1">
        <f t="shared" si="32"/>
        <v>177.5</v>
      </c>
      <c r="L23" s="1">
        <f t="shared" si="32"/>
        <v>-120.5</v>
      </c>
      <c r="M23" s="1">
        <f t="shared" si="32"/>
        <v>-252</v>
      </c>
      <c r="N23" s="9">
        <f t="shared" si="32"/>
        <v>-307.5</v>
      </c>
      <c r="P23" s="8">
        <f t="shared" si="11"/>
        <v>485</v>
      </c>
      <c r="Q23" s="9">
        <f t="shared" si="4"/>
        <v>-207</v>
      </c>
      <c r="R23" s="1">
        <f t="shared" si="12"/>
        <v>142.5</v>
      </c>
      <c r="S23" s="9">
        <f t="shared" si="5"/>
        <v>-231</v>
      </c>
      <c r="T23" s="1">
        <f t="shared" si="13"/>
        <v>757.5</v>
      </c>
      <c r="U23" s="9">
        <f t="shared" si="6"/>
        <v>-580</v>
      </c>
      <c r="V23" s="1">
        <f t="shared" si="14"/>
        <v>342</v>
      </c>
      <c r="W23" s="9">
        <f t="shared" si="7"/>
        <v>-437.5</v>
      </c>
      <c r="X23" s="1">
        <f t="shared" si="15"/>
        <v>48</v>
      </c>
      <c r="Y23" s="9">
        <f t="shared" si="8"/>
        <v>-257.5</v>
      </c>
      <c r="Z23" s="1">
        <f t="shared" si="16"/>
        <v>0</v>
      </c>
      <c r="AA23" s="9">
        <f t="shared" si="9"/>
        <v>-222.5</v>
      </c>
    </row>
    <row r="24" ht="15.75" customHeight="1">
      <c r="A24" s="1"/>
      <c r="B24" s="8">
        <v>137.0</v>
      </c>
      <c r="C24" s="1">
        <v>-22.5</v>
      </c>
      <c r="E24" s="1">
        <v>80.0</v>
      </c>
      <c r="F24" s="1">
        <v>-65.0</v>
      </c>
      <c r="G24" s="9">
        <v>117.5</v>
      </c>
      <c r="I24" s="8">
        <f t="shared" ref="I24:N24" si="33">I23+B24</f>
        <v>165</v>
      </c>
      <c r="J24" s="1">
        <f t="shared" si="33"/>
        <v>-148.5</v>
      </c>
      <c r="K24" s="1">
        <f t="shared" si="33"/>
        <v>177.5</v>
      </c>
      <c r="L24" s="1">
        <f t="shared" si="33"/>
        <v>-40.5</v>
      </c>
      <c r="M24" s="1">
        <f t="shared" si="33"/>
        <v>-317</v>
      </c>
      <c r="N24" s="9">
        <f t="shared" si="33"/>
        <v>-190</v>
      </c>
      <c r="P24" s="8">
        <f t="shared" si="11"/>
        <v>485</v>
      </c>
      <c r="Q24" s="9">
        <f t="shared" si="4"/>
        <v>-457</v>
      </c>
      <c r="R24" s="1">
        <f t="shared" si="12"/>
        <v>142.5</v>
      </c>
      <c r="S24" s="9">
        <f t="shared" si="5"/>
        <v>-268.5</v>
      </c>
      <c r="T24" s="1">
        <f t="shared" si="13"/>
        <v>757.5</v>
      </c>
      <c r="U24" s="9">
        <f t="shared" si="6"/>
        <v>-580</v>
      </c>
      <c r="V24" s="1">
        <f t="shared" si="14"/>
        <v>342</v>
      </c>
      <c r="W24" s="9">
        <f t="shared" si="7"/>
        <v>-462.5</v>
      </c>
      <c r="X24" s="1">
        <f t="shared" si="15"/>
        <v>48</v>
      </c>
      <c r="Y24" s="9">
        <f t="shared" si="8"/>
        <v>-300</v>
      </c>
      <c r="Z24" s="1">
        <f t="shared" si="16"/>
        <v>0</v>
      </c>
      <c r="AA24" s="9">
        <f t="shared" si="9"/>
        <v>-307.5</v>
      </c>
    </row>
    <row r="25" ht="15.75" customHeight="1">
      <c r="A25" s="1"/>
      <c r="B25" s="8">
        <v>270.0</v>
      </c>
      <c r="C25" s="1">
        <v>-70.0</v>
      </c>
      <c r="E25" s="1">
        <v>-60.0</v>
      </c>
      <c r="F25" s="1">
        <v>-70.0</v>
      </c>
      <c r="G25" s="9">
        <v>0.0</v>
      </c>
      <c r="I25" s="8">
        <f t="shared" ref="I25:N25" si="34">I24+B25</f>
        <v>435</v>
      </c>
      <c r="J25" s="1">
        <f t="shared" si="34"/>
        <v>-218.5</v>
      </c>
      <c r="K25" s="1">
        <f t="shared" si="34"/>
        <v>177.5</v>
      </c>
      <c r="L25" s="1">
        <f t="shared" si="34"/>
        <v>-100.5</v>
      </c>
      <c r="M25" s="1">
        <f t="shared" si="34"/>
        <v>-387</v>
      </c>
      <c r="N25" s="9">
        <f t="shared" si="34"/>
        <v>-190</v>
      </c>
      <c r="P25" s="8">
        <f t="shared" si="11"/>
        <v>485</v>
      </c>
      <c r="Q25" s="9">
        <f t="shared" si="4"/>
        <v>-320</v>
      </c>
      <c r="R25" s="1">
        <f t="shared" si="12"/>
        <v>142.5</v>
      </c>
      <c r="S25" s="9">
        <f t="shared" si="5"/>
        <v>-291</v>
      </c>
      <c r="T25" s="1">
        <f t="shared" si="13"/>
        <v>757.5</v>
      </c>
      <c r="U25" s="9">
        <f t="shared" si="6"/>
        <v>-580</v>
      </c>
      <c r="V25" s="1">
        <f t="shared" si="14"/>
        <v>342</v>
      </c>
      <c r="W25" s="9">
        <f t="shared" si="7"/>
        <v>-382.5</v>
      </c>
      <c r="X25" s="1">
        <f t="shared" si="15"/>
        <v>48</v>
      </c>
      <c r="Y25" s="9">
        <f t="shared" si="8"/>
        <v>-365</v>
      </c>
      <c r="Z25" s="1">
        <f t="shared" si="16"/>
        <v>0</v>
      </c>
      <c r="AA25" s="9">
        <f t="shared" si="9"/>
        <v>-190</v>
      </c>
    </row>
    <row r="26" ht="15.75" customHeight="1">
      <c r="A26" s="1"/>
      <c r="B26" s="8">
        <v>50.0</v>
      </c>
      <c r="C26" s="1">
        <v>160.0</v>
      </c>
      <c r="E26" s="1">
        <v>-35.0</v>
      </c>
      <c r="F26" s="1">
        <v>72.5</v>
      </c>
      <c r="G26" s="9">
        <v>125.0</v>
      </c>
      <c r="I26" s="8">
        <f t="shared" ref="I26:N26" si="35">I25+B26</f>
        <v>485</v>
      </c>
      <c r="J26" s="1">
        <f t="shared" si="35"/>
        <v>-58.5</v>
      </c>
      <c r="K26" s="1">
        <f t="shared" si="35"/>
        <v>177.5</v>
      </c>
      <c r="L26" s="1">
        <f t="shared" si="35"/>
        <v>-135.5</v>
      </c>
      <c r="M26" s="1">
        <f t="shared" si="35"/>
        <v>-314.5</v>
      </c>
      <c r="N26" s="9">
        <f t="shared" si="35"/>
        <v>-65</v>
      </c>
      <c r="P26" s="8">
        <f t="shared" si="11"/>
        <v>485</v>
      </c>
      <c r="Q26" s="9">
        <f t="shared" si="4"/>
        <v>-50</v>
      </c>
      <c r="R26" s="1">
        <f t="shared" si="12"/>
        <v>142.5</v>
      </c>
      <c r="S26" s="9">
        <f t="shared" si="5"/>
        <v>-361</v>
      </c>
      <c r="T26" s="1">
        <f t="shared" si="13"/>
        <v>757.5</v>
      </c>
      <c r="U26" s="9">
        <f t="shared" si="6"/>
        <v>-580</v>
      </c>
      <c r="V26" s="1">
        <f t="shared" si="14"/>
        <v>342</v>
      </c>
      <c r="W26" s="9">
        <f t="shared" si="7"/>
        <v>-442.5</v>
      </c>
      <c r="X26" s="1">
        <f t="shared" si="15"/>
        <v>48</v>
      </c>
      <c r="Y26" s="9">
        <f t="shared" si="8"/>
        <v>-435</v>
      </c>
      <c r="Z26" s="1">
        <f t="shared" si="16"/>
        <v>0</v>
      </c>
      <c r="AA26" s="9">
        <f t="shared" si="9"/>
        <v>-190</v>
      </c>
    </row>
    <row r="27" ht="15.75" customHeight="1">
      <c r="A27" s="1"/>
      <c r="B27" s="8">
        <v>27.5</v>
      </c>
      <c r="C27" s="1">
        <v>75.0</v>
      </c>
      <c r="E27" s="1">
        <v>125.0</v>
      </c>
      <c r="F27" s="1">
        <v>-20.0</v>
      </c>
      <c r="G27" s="9">
        <v>25.0</v>
      </c>
      <c r="I27" s="8">
        <f t="shared" ref="I27:N27" si="36">I26+B27</f>
        <v>512.5</v>
      </c>
      <c r="J27" s="1">
        <f t="shared" si="36"/>
        <v>16.5</v>
      </c>
      <c r="K27" s="1">
        <f t="shared" si="36"/>
        <v>177.5</v>
      </c>
      <c r="L27" s="1">
        <f t="shared" si="36"/>
        <v>-10.5</v>
      </c>
      <c r="M27" s="1">
        <f t="shared" si="36"/>
        <v>-334.5</v>
      </c>
      <c r="N27" s="9">
        <f t="shared" si="36"/>
        <v>-40</v>
      </c>
      <c r="P27" s="8">
        <f t="shared" si="11"/>
        <v>485</v>
      </c>
      <c r="Q27" s="9">
        <f t="shared" si="4"/>
        <v>0</v>
      </c>
      <c r="R27" s="1">
        <f t="shared" si="12"/>
        <v>142.5</v>
      </c>
      <c r="S27" s="9">
        <f t="shared" si="5"/>
        <v>-201</v>
      </c>
      <c r="T27" s="1">
        <f t="shared" si="13"/>
        <v>757.5</v>
      </c>
      <c r="U27" s="9">
        <f t="shared" si="6"/>
        <v>-580</v>
      </c>
      <c r="V27" s="1">
        <f t="shared" si="14"/>
        <v>342</v>
      </c>
      <c r="W27" s="9">
        <f t="shared" si="7"/>
        <v>-477.5</v>
      </c>
      <c r="X27" s="1">
        <f t="shared" si="15"/>
        <v>48</v>
      </c>
      <c r="Y27" s="9">
        <f t="shared" si="8"/>
        <v>-362.5</v>
      </c>
      <c r="Z27" s="1">
        <f t="shared" si="16"/>
        <v>0</v>
      </c>
      <c r="AA27" s="9">
        <f t="shared" si="9"/>
        <v>-65</v>
      </c>
    </row>
    <row r="28" ht="15.75" customHeight="1">
      <c r="A28" s="1"/>
      <c r="B28" s="19">
        <v>0.0</v>
      </c>
      <c r="C28" s="20">
        <f>177.5</f>
        <v>177.5</v>
      </c>
      <c r="D28" s="20"/>
      <c r="E28" s="20">
        <v>50.0</v>
      </c>
      <c r="F28" s="20">
        <v>-250.0</v>
      </c>
      <c r="G28" s="21">
        <v>12.5</v>
      </c>
      <c r="I28" s="19">
        <f t="shared" ref="I28:N28" si="37">I27+B28</f>
        <v>512.5</v>
      </c>
      <c r="J28" s="20">
        <f t="shared" si="37"/>
        <v>194</v>
      </c>
      <c r="K28" s="20">
        <f t="shared" si="37"/>
        <v>177.5</v>
      </c>
      <c r="L28" s="20">
        <f t="shared" si="37"/>
        <v>39.5</v>
      </c>
      <c r="M28" s="20">
        <f t="shared" si="37"/>
        <v>-584.5</v>
      </c>
      <c r="N28" s="21">
        <f t="shared" si="37"/>
        <v>-27.5</v>
      </c>
      <c r="P28" s="8">
        <f t="shared" si="11"/>
        <v>512.5</v>
      </c>
      <c r="Q28" s="9">
        <f t="shared" si="4"/>
        <v>0</v>
      </c>
      <c r="R28" s="1">
        <f t="shared" si="12"/>
        <v>142.5</v>
      </c>
      <c r="S28" s="9">
        <f t="shared" si="5"/>
        <v>-126</v>
      </c>
      <c r="T28" s="1">
        <f t="shared" si="13"/>
        <v>757.5</v>
      </c>
      <c r="U28" s="9">
        <f t="shared" si="6"/>
        <v>-580</v>
      </c>
      <c r="V28" s="1">
        <f t="shared" si="14"/>
        <v>342</v>
      </c>
      <c r="W28" s="9">
        <f t="shared" si="7"/>
        <v>-352.5</v>
      </c>
      <c r="X28" s="1">
        <f t="shared" si="15"/>
        <v>48</v>
      </c>
      <c r="Y28" s="9">
        <f t="shared" si="8"/>
        <v>-382.5</v>
      </c>
      <c r="Z28" s="1">
        <f t="shared" si="16"/>
        <v>0</v>
      </c>
      <c r="AA28" s="9">
        <f t="shared" si="9"/>
        <v>-40</v>
      </c>
    </row>
    <row r="29" ht="15.75" customHeight="1">
      <c r="P29" s="19">
        <f t="shared" si="11"/>
        <v>512.5</v>
      </c>
      <c r="Q29" s="21">
        <f t="shared" si="4"/>
        <v>0</v>
      </c>
      <c r="R29" s="20">
        <f t="shared" si="12"/>
        <v>194</v>
      </c>
      <c r="S29" s="21">
        <f t="shared" si="5"/>
        <v>0</v>
      </c>
      <c r="T29" s="20">
        <f t="shared" si="13"/>
        <v>757.5</v>
      </c>
      <c r="U29" s="21">
        <f t="shared" si="6"/>
        <v>-580</v>
      </c>
      <c r="V29" s="20">
        <f t="shared" si="14"/>
        <v>342</v>
      </c>
      <c r="W29" s="21">
        <f t="shared" si="7"/>
        <v>-302.5</v>
      </c>
      <c r="X29" s="20">
        <f t="shared" si="15"/>
        <v>48</v>
      </c>
      <c r="Y29" s="21">
        <f t="shared" si="8"/>
        <v>-632.5</v>
      </c>
      <c r="Z29" s="20">
        <f t="shared" si="16"/>
        <v>0</v>
      </c>
      <c r="AA29" s="21">
        <f t="shared" si="9"/>
        <v>-27.5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X3:Y3"/>
    <mergeCell ref="Z3:AA3"/>
    <mergeCell ref="B2:G2"/>
    <mergeCell ref="I2:N2"/>
    <mergeCell ref="P2:AA2"/>
    <mergeCell ref="P3:Q3"/>
    <mergeCell ref="R3:S3"/>
    <mergeCell ref="T3:U3"/>
    <mergeCell ref="V3:W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88"/>
    <col customWidth="1" min="3" max="6" width="12.63"/>
  </cols>
  <sheetData>
    <row r="1" ht="15.75" customHeight="1">
      <c r="A1" s="16" t="s">
        <v>51</v>
      </c>
      <c r="B1" s="17">
        <v>5.0</v>
      </c>
      <c r="C1" s="1"/>
      <c r="D1" s="1"/>
      <c r="E1" s="1"/>
    </row>
    <row r="2" ht="15.75" customHeight="1">
      <c r="A2" s="1"/>
    </row>
    <row r="3" ht="15.75" customHeight="1">
      <c r="A3" s="1"/>
      <c r="B3" s="10"/>
      <c r="C3" s="7" t="s">
        <v>0</v>
      </c>
      <c r="D3" s="7" t="s">
        <v>1</v>
      </c>
      <c r="E3" s="7" t="s">
        <v>2</v>
      </c>
      <c r="F3" s="7" t="s">
        <v>3</v>
      </c>
      <c r="G3" s="7" t="s">
        <v>6</v>
      </c>
      <c r="H3" s="7" t="s">
        <v>7</v>
      </c>
    </row>
    <row r="4" ht="15.75" customHeight="1">
      <c r="B4" s="10" t="s">
        <v>52</v>
      </c>
      <c r="C4" s="10">
        <f>COUNT('純戰鬥紀錄'!B4:B2800)</f>
        <v>25</v>
      </c>
      <c r="D4" s="10">
        <f>COUNT('純戰鬥紀錄'!C4:C2800)</f>
        <v>25</v>
      </c>
      <c r="E4" s="10">
        <f>COUNT('純戰鬥紀錄'!D4:D2800)</f>
        <v>11</v>
      </c>
      <c r="F4" s="10">
        <f>COUNT('純戰鬥紀錄'!E4:E2800)</f>
        <v>25</v>
      </c>
      <c r="G4" s="10">
        <f>COUNT('純戰鬥紀錄'!F4:F2800)</f>
        <v>14</v>
      </c>
      <c r="H4" s="10">
        <f>COUNT('純戰鬥紀錄'!G4:G2800)</f>
        <v>17</v>
      </c>
    </row>
    <row r="5" ht="15.75" customHeight="1">
      <c r="B5" s="10" t="s">
        <v>53</v>
      </c>
      <c r="C5" s="10">
        <f>SUM('純戰鬥紀錄'!B4:B2800)</f>
        <v>512.5</v>
      </c>
      <c r="D5" s="10">
        <f>SUM('純戰鬥紀錄'!C4:C2800)</f>
        <v>194</v>
      </c>
      <c r="E5" s="10">
        <f>SUM('純戰鬥紀錄'!D4:D2800)</f>
        <v>177.5</v>
      </c>
      <c r="F5" s="10">
        <f>SUM('純戰鬥紀錄'!E4:E2800)</f>
        <v>39.5</v>
      </c>
      <c r="G5" s="10">
        <f>SUM('純戰鬥紀錄'!F4:F2800)</f>
        <v>-584.5</v>
      </c>
      <c r="H5" s="10">
        <f>SUM('純戰鬥紀錄'!G4:G2800)</f>
        <v>-27.5</v>
      </c>
    </row>
    <row r="6" ht="15.75" customHeight="1">
      <c r="B6" s="10" t="s">
        <v>54</v>
      </c>
      <c r="C6" s="18">
        <f t="shared" ref="C6:H6" si="1">(C5/$B$1/C4*100)</f>
        <v>410</v>
      </c>
      <c r="D6" s="18">
        <f t="shared" si="1"/>
        <v>155.2</v>
      </c>
      <c r="E6" s="18">
        <f t="shared" si="1"/>
        <v>322.7272727</v>
      </c>
      <c r="F6" s="18">
        <f t="shared" si="1"/>
        <v>31.6</v>
      </c>
      <c r="G6" s="18">
        <f t="shared" si="1"/>
        <v>-835</v>
      </c>
      <c r="H6" s="18">
        <f t="shared" si="1"/>
        <v>-32.35294118</v>
      </c>
    </row>
    <row r="7" ht="15.75" customHeight="1">
      <c r="B7" s="10" t="s">
        <v>55</v>
      </c>
      <c r="C7" s="18">
        <f>STDEV('純戰鬥紀錄'!B4:B2800)</f>
        <v>140.2583925</v>
      </c>
      <c r="D7" s="18">
        <f>STDEV('純戰鬥紀錄'!C4:C2800)</f>
        <v>152.0440671</v>
      </c>
      <c r="E7" s="18">
        <f>STDEV('純戰鬥紀錄'!D4:D2800)</f>
        <v>207.9699607</v>
      </c>
      <c r="F7" s="18">
        <f>STDEV('純戰鬥紀錄'!E4:E2800)</f>
        <v>137.1378321</v>
      </c>
      <c r="G7" s="18">
        <f>STDEV('純戰鬥紀錄'!F4:F2800)</f>
        <v>84.01917135</v>
      </c>
      <c r="H7" s="18">
        <f>STDEV('純戰鬥紀錄'!G4:G2800)</f>
        <v>95.21743692</v>
      </c>
    </row>
    <row r="8" ht="15.75" customHeight="1">
      <c r="B8" s="10" t="s">
        <v>56</v>
      </c>
      <c r="C8" s="18">
        <f t="shared" ref="C8:H8" si="2">C7/$B$1*10</f>
        <v>280.516785</v>
      </c>
      <c r="D8" s="18">
        <f t="shared" si="2"/>
        <v>304.0881342</v>
      </c>
      <c r="E8" s="18">
        <f t="shared" si="2"/>
        <v>415.9399214</v>
      </c>
      <c r="F8" s="18">
        <f t="shared" si="2"/>
        <v>274.2756643</v>
      </c>
      <c r="G8" s="18">
        <f t="shared" si="2"/>
        <v>168.0383427</v>
      </c>
      <c r="H8" s="18">
        <f t="shared" si="2"/>
        <v>190.4348738</v>
      </c>
    </row>
    <row r="9" ht="15.75" customHeight="1">
      <c r="B9" s="10" t="s">
        <v>57</v>
      </c>
      <c r="C9" s="22">
        <f>COUNTIF('純戰鬥紀錄'!B4:B280,"&gt;0")/C4</f>
        <v>0.48</v>
      </c>
      <c r="D9" s="22">
        <f>COUNTIF('純戰鬥紀錄'!C4:C280,"&gt;0")/D4</f>
        <v>0.4</v>
      </c>
      <c r="E9" s="22">
        <f>COUNTIF('純戰鬥紀錄'!D4:D280,"&gt;0")/E4</f>
        <v>0.5454545455</v>
      </c>
      <c r="F9" s="22">
        <f>COUNTIF('純戰鬥紀錄'!E4:E280,"&gt;0")/F4</f>
        <v>0.48</v>
      </c>
      <c r="G9" s="22">
        <f>COUNTIF('純戰鬥紀錄'!F4:F280,"&gt;0")/G4</f>
        <v>0.2142857143</v>
      </c>
      <c r="H9" s="22">
        <f>COUNTIF('純戰鬥紀錄'!G4:G280,"&gt;0")/H4</f>
        <v>0.4117647059</v>
      </c>
    </row>
    <row r="10" ht="15.75" customHeight="1">
      <c r="B10" s="10" t="s">
        <v>58</v>
      </c>
      <c r="C10" s="18">
        <f>AVERAGEIF('純戰鬥紀錄'!B4:B2800,"&gt;0")/(-1*AVERAGEIF('純戰鬥紀錄'!B4:B2800,"&lt;0"))</f>
        <v>1.341049383</v>
      </c>
      <c r="D10" s="18">
        <f>AVERAGEIF('純戰鬥紀錄'!C4:C2800,"&gt;0")/(-1*AVERAGEIF('純戰鬥紀錄'!C4:C2800,"&lt;0"))</f>
        <v>1.60764526</v>
      </c>
      <c r="E10" s="18">
        <f>AVERAGEIF('純戰鬥紀錄'!D4:D2800,"&gt;0")/(-1*AVERAGEIF('純戰鬥紀錄'!D4:D2800,"&lt;0"))</f>
        <v>0.8243393293</v>
      </c>
      <c r="F10" s="18">
        <f>AVERAGEIF('純戰鬥紀錄'!E4:E2800,"&gt;0")/(-1*AVERAGEIF('純戰鬥紀錄'!E4:E2800,"&lt;0"))</f>
        <v>0.7733727811</v>
      </c>
      <c r="G10" s="18">
        <f>AVERAGEIF('純戰鬥紀錄'!F4:F2800,"&gt;0")/(-1*AVERAGEIF('純戰鬥紀錄'!F4:F2800,"&lt;0"))</f>
        <v>0.5372191011</v>
      </c>
      <c r="H10" s="18">
        <f>AVERAGEIF('純戰鬥紀錄'!G4:G2800,"&gt;0")/(-1*AVERAGEIF('純戰鬥紀錄'!G4:G2800,"&lt;0"))</f>
        <v>0.8118131868</v>
      </c>
    </row>
    <row r="11" ht="15.75" customHeight="1">
      <c r="B11" s="10" t="s">
        <v>59</v>
      </c>
      <c r="C11" s="10">
        <f>MAX('純戰鬥紀錄'!I4:I2800)</f>
        <v>512.5</v>
      </c>
      <c r="D11" s="10">
        <f>MAX('純戰鬥紀錄'!J4:J2800)</f>
        <v>194</v>
      </c>
      <c r="E11" s="10">
        <f>MAX('純戰鬥紀錄'!K4:K2800)</f>
        <v>757.5</v>
      </c>
      <c r="F11" s="10">
        <f>MAX('純戰鬥紀錄'!L4:L2800)</f>
        <v>342</v>
      </c>
      <c r="G11" s="10">
        <f>MAX('純戰鬥紀錄'!M4:M2800)</f>
        <v>48</v>
      </c>
      <c r="H11" s="10">
        <f>MAX('純戰鬥紀錄'!N4:N2800)</f>
        <v>0</v>
      </c>
    </row>
    <row r="12" ht="15.75" customHeight="1">
      <c r="B12" s="10" t="s">
        <v>60</v>
      </c>
      <c r="C12" s="10">
        <f>MIN('純戰鬥紀錄'!I4:I2800)</f>
        <v>-405</v>
      </c>
      <c r="D12" s="10">
        <f>MIN('純戰鬥紀錄'!J4:J2800)</f>
        <v>-406</v>
      </c>
      <c r="E12" s="10">
        <f>MIN('純戰鬥紀錄'!K4:K2800)</f>
        <v>45</v>
      </c>
      <c r="F12" s="10">
        <f>MIN('純戰鬥紀錄'!L4:L2800)</f>
        <v>-135.5</v>
      </c>
      <c r="G12" s="10">
        <f>MIN('純戰鬥紀錄'!M4:M2800)</f>
        <v>-584.5</v>
      </c>
      <c r="H12" s="10">
        <f>MIN('純戰鬥紀錄'!N4:N2800)</f>
        <v>-307.5</v>
      </c>
    </row>
    <row r="13" ht="15.75" customHeight="1">
      <c r="B13" s="10" t="s">
        <v>61</v>
      </c>
      <c r="C13" s="10">
        <f>-1*MIN('純戰鬥紀錄'!Q5:Q2900)</f>
        <v>457</v>
      </c>
      <c r="D13" s="10">
        <f>-1*MIN('純戰鬥紀錄'!S5:S2900)</f>
        <v>548.5</v>
      </c>
      <c r="E13" s="10">
        <f>-1*MIN('純戰鬥紀錄'!U5:U2900)</f>
        <v>712.5</v>
      </c>
      <c r="F13" s="10">
        <f>-1*MIN('純戰鬥紀錄'!W5:W2900)</f>
        <v>477.5</v>
      </c>
      <c r="G13" s="10">
        <f>-1*MIN('純戰鬥紀錄'!Y5:Y2900)</f>
        <v>632.5</v>
      </c>
      <c r="H13" s="10">
        <f>-1*MIN('純戰鬥紀錄'!AA5:AA2900)</f>
        <v>307.5</v>
      </c>
    </row>
    <row r="14" ht="15.75" customHeight="1">
      <c r="B14" s="10" t="s">
        <v>62</v>
      </c>
      <c r="C14" s="23">
        <f t="shared" ref="C14:H14" si="3">C6/C8</f>
        <v>1.461588119</v>
      </c>
      <c r="D14" s="23">
        <f t="shared" si="3"/>
        <v>0.5103783495</v>
      </c>
      <c r="E14" s="23">
        <f t="shared" si="3"/>
        <v>0.7758987684</v>
      </c>
      <c r="F14" s="23">
        <f t="shared" si="3"/>
        <v>0.1152125548</v>
      </c>
      <c r="G14" s="23">
        <f t="shared" si="3"/>
        <v>-4.969103995</v>
      </c>
      <c r="H14" s="23">
        <f t="shared" si="3"/>
        <v>-0.1698897924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3</v>
      </c>
      <c r="D1" s="1" t="s">
        <v>6</v>
      </c>
      <c r="E1" s="1" t="s">
        <v>10</v>
      </c>
      <c r="F1" s="1" t="s">
        <v>11</v>
      </c>
      <c r="G1" s="1" t="s">
        <v>12</v>
      </c>
      <c r="H1" s="1"/>
      <c r="I1" s="1" t="s">
        <v>13</v>
      </c>
    </row>
    <row r="2" ht="15.75" customHeight="1">
      <c r="A2" s="1">
        <v>-100.0</v>
      </c>
      <c r="B2" s="1">
        <v>102.0</v>
      </c>
      <c r="C2" s="1">
        <v>0.0</v>
      </c>
      <c r="D2" s="1">
        <v>-2.0</v>
      </c>
      <c r="E2" s="1">
        <v>0.0</v>
      </c>
      <c r="F2" s="1">
        <v>0.0</v>
      </c>
      <c r="G2" s="1">
        <v>0.0</v>
      </c>
      <c r="K2" s="1">
        <f t="shared" ref="K2:K18" si="1">SUM(A2:G2)</f>
        <v>0</v>
      </c>
    </row>
    <row r="3" ht="15.75" customHeight="1">
      <c r="A3" s="1">
        <v>-12.0</v>
      </c>
      <c r="B3" s="1">
        <v>-38.0</v>
      </c>
      <c r="C3" s="1">
        <v>0.0</v>
      </c>
      <c r="D3" s="1">
        <v>50.0</v>
      </c>
      <c r="E3" s="1">
        <v>0.0</v>
      </c>
      <c r="F3" s="1">
        <v>0.0</v>
      </c>
      <c r="G3" s="1">
        <v>0.0</v>
      </c>
      <c r="K3" s="1">
        <f t="shared" si="1"/>
        <v>0</v>
      </c>
    </row>
    <row r="4" ht="15.75" customHeight="1">
      <c r="A4" s="1">
        <v>-42.5</v>
      </c>
      <c r="B4" s="1">
        <v>-30.0</v>
      </c>
      <c r="C4" s="1">
        <v>0.0</v>
      </c>
      <c r="D4" s="1">
        <v>-155.0</v>
      </c>
      <c r="E4" s="1">
        <v>452.5</v>
      </c>
      <c r="F4" s="1">
        <v>25.0</v>
      </c>
      <c r="G4" s="1">
        <v>-250.0</v>
      </c>
      <c r="K4" s="1">
        <f t="shared" si="1"/>
        <v>0</v>
      </c>
    </row>
    <row r="5" ht="15.75" customHeight="1">
      <c r="A5" s="1">
        <v>72.5</v>
      </c>
      <c r="B5" s="1">
        <v>0.0</v>
      </c>
      <c r="C5" s="1">
        <v>10.0</v>
      </c>
      <c r="D5" s="1">
        <v>-5.0</v>
      </c>
      <c r="E5" s="1">
        <f>180</f>
        <v>180</v>
      </c>
      <c r="F5" s="1">
        <v>-7.5</v>
      </c>
      <c r="G5" s="1">
        <v>-250.0</v>
      </c>
      <c r="K5" s="1">
        <f t="shared" si="1"/>
        <v>0</v>
      </c>
    </row>
    <row r="6" ht="15.75" customHeight="1">
      <c r="A6" s="1">
        <v>0.0</v>
      </c>
      <c r="B6" s="1">
        <v>-250.0</v>
      </c>
      <c r="C6" s="1">
        <v>0.0</v>
      </c>
      <c r="D6" s="1">
        <v>0.0</v>
      </c>
      <c r="E6" s="1">
        <f>250</f>
        <v>250</v>
      </c>
      <c r="F6" s="1">
        <v>0.0</v>
      </c>
      <c r="G6" s="1">
        <v>0.0</v>
      </c>
      <c r="K6" s="1">
        <f t="shared" si="1"/>
        <v>0</v>
      </c>
    </row>
    <row r="7" ht="15.75" customHeight="1">
      <c r="A7" s="1">
        <v>62.5</v>
      </c>
      <c r="B7" s="1">
        <v>-77.5</v>
      </c>
      <c r="C7" s="1">
        <v>100.0</v>
      </c>
      <c r="D7" s="1">
        <v>5.0</v>
      </c>
      <c r="E7" s="1">
        <v>30.0</v>
      </c>
      <c r="F7" s="1">
        <v>130.0</v>
      </c>
      <c r="G7" s="1">
        <v>-250.0</v>
      </c>
      <c r="K7" s="1">
        <f t="shared" si="1"/>
        <v>0</v>
      </c>
    </row>
    <row r="8" ht="15.75" customHeight="1">
      <c r="A8" s="1">
        <v>-140.0</v>
      </c>
      <c r="B8" s="1">
        <v>385.0</v>
      </c>
      <c r="C8" s="1">
        <v>50.0</v>
      </c>
      <c r="D8" s="1">
        <v>0.0</v>
      </c>
      <c r="E8" s="1">
        <v>110.0</v>
      </c>
      <c r="F8" s="1">
        <v>-155.0</v>
      </c>
      <c r="G8" s="1">
        <v>-250.0</v>
      </c>
      <c r="K8" s="1">
        <f t="shared" si="1"/>
        <v>0</v>
      </c>
    </row>
    <row r="9" ht="15.75" customHeight="1">
      <c r="A9" s="1">
        <v>-47.5</v>
      </c>
      <c r="B9" s="1">
        <v>-67.5</v>
      </c>
      <c r="C9" s="1">
        <v>-250.0</v>
      </c>
      <c r="D9" s="1">
        <v>-102.5</v>
      </c>
      <c r="E9" s="1">
        <v>377.5</v>
      </c>
      <c r="F9" s="1">
        <v>-10.0</v>
      </c>
      <c r="G9" s="1">
        <v>100.0</v>
      </c>
      <c r="K9" s="1">
        <f t="shared" si="1"/>
        <v>0</v>
      </c>
    </row>
    <row r="10" ht="15.75" customHeight="1">
      <c r="A10" s="1">
        <v>-250.0</v>
      </c>
      <c r="B10" s="1">
        <v>-37.5</v>
      </c>
      <c r="C10" s="1">
        <v>-25.0</v>
      </c>
      <c r="D10" s="1">
        <v>-42.5</v>
      </c>
      <c r="E10" s="1">
        <v>265.0</v>
      </c>
      <c r="F10" s="1">
        <v>-85.0</v>
      </c>
      <c r="G10" s="1">
        <v>175.0</v>
      </c>
      <c r="K10" s="1">
        <f t="shared" si="1"/>
        <v>0</v>
      </c>
    </row>
    <row r="11" ht="15.75" customHeight="1">
      <c r="A11" s="1">
        <v>137.0</v>
      </c>
      <c r="B11" s="1">
        <v>-22.5</v>
      </c>
      <c r="C11" s="1">
        <v>80.0</v>
      </c>
      <c r="D11" s="1">
        <v>-65.0</v>
      </c>
      <c r="E11" s="1">
        <v>-250.0</v>
      </c>
      <c r="F11" s="1">
        <v>117.5</v>
      </c>
      <c r="G11" s="1">
        <v>2.5</v>
      </c>
      <c r="K11" s="1">
        <f t="shared" si="1"/>
        <v>-0.5</v>
      </c>
    </row>
    <row r="12" ht="15.75" customHeight="1">
      <c r="A12" s="1">
        <v>270.0</v>
      </c>
      <c r="B12" s="1">
        <v>-70.0</v>
      </c>
      <c r="C12" s="1">
        <v>-60.0</v>
      </c>
      <c r="D12" s="1">
        <v>-70.0</v>
      </c>
      <c r="E12" s="1">
        <v>-70.0</v>
      </c>
      <c r="F12" s="1">
        <v>0.0</v>
      </c>
      <c r="G12" s="1">
        <v>0.0</v>
      </c>
      <c r="I12" s="1" t="s">
        <v>17</v>
      </c>
      <c r="K12" s="1">
        <f t="shared" si="1"/>
        <v>0</v>
      </c>
    </row>
    <row r="13" ht="15.75" customHeight="1">
      <c r="A13" s="1">
        <v>50.0</v>
      </c>
      <c r="B13" s="1">
        <v>160.0</v>
      </c>
      <c r="C13" s="1">
        <v>-35.0</v>
      </c>
      <c r="D13" s="1">
        <v>72.5</v>
      </c>
      <c r="E13" s="1">
        <v>-122.5</v>
      </c>
      <c r="F13" s="1">
        <v>125.0</v>
      </c>
      <c r="G13" s="1">
        <v>-250.0</v>
      </c>
      <c r="K13" s="1">
        <f t="shared" si="1"/>
        <v>0</v>
      </c>
    </row>
    <row r="14" ht="15.75" customHeight="1">
      <c r="A14" s="1">
        <v>27.5</v>
      </c>
      <c r="B14" s="1">
        <v>75.0</v>
      </c>
      <c r="C14" s="1">
        <v>125.0</v>
      </c>
      <c r="D14" s="1">
        <v>-20.0</v>
      </c>
      <c r="E14" s="1">
        <v>-250.0</v>
      </c>
      <c r="F14" s="1">
        <v>25.0</v>
      </c>
      <c r="G14" s="1">
        <v>17.5</v>
      </c>
      <c r="K14" s="1">
        <f t="shared" si="1"/>
        <v>0</v>
      </c>
    </row>
    <row r="15" ht="15.75" customHeight="1">
      <c r="A15" s="1">
        <v>0.0</v>
      </c>
      <c r="B15" s="1">
        <f>177.5</f>
        <v>177.5</v>
      </c>
      <c r="C15" s="1">
        <v>50.0</v>
      </c>
      <c r="D15" s="1">
        <v>-250.0</v>
      </c>
      <c r="E15" s="1">
        <v>62.5</v>
      </c>
      <c r="F15" s="1">
        <v>12.5</v>
      </c>
      <c r="G15" s="1">
        <v>-52.5</v>
      </c>
      <c r="K15" s="1">
        <f t="shared" si="1"/>
        <v>0</v>
      </c>
    </row>
    <row r="16" ht="15.75" customHeight="1">
      <c r="A16" s="1"/>
      <c r="B16" s="1"/>
      <c r="K16" s="1">
        <f t="shared" si="1"/>
        <v>0</v>
      </c>
    </row>
    <row r="17" ht="15.75" customHeight="1">
      <c r="B17" s="1">
        <v>0.5</v>
      </c>
      <c r="E17" s="1">
        <v>-1035.0</v>
      </c>
      <c r="F17" s="1">
        <v>27.0</v>
      </c>
      <c r="G17" s="1">
        <f>1007.5</f>
        <v>1007.5</v>
      </c>
      <c r="I17" s="1" t="s">
        <v>18</v>
      </c>
      <c r="K17" s="1">
        <f t="shared" si="1"/>
        <v>0</v>
      </c>
    </row>
    <row r="18" ht="15.75" customHeight="1">
      <c r="F18" s="1">
        <v>0.5</v>
      </c>
      <c r="I18" s="1" t="s">
        <v>19</v>
      </c>
      <c r="K18" s="1">
        <f t="shared" si="1"/>
        <v>0.5</v>
      </c>
    </row>
    <row r="19" ht="15.75" customHeight="1"/>
    <row r="20" ht="15.75" customHeight="1">
      <c r="A20" s="1">
        <f t="shared" ref="A20:E20" si="2">sum(A2:A17)</f>
        <v>27.5</v>
      </c>
      <c r="B20" s="1">
        <f t="shared" si="2"/>
        <v>307</v>
      </c>
      <c r="C20" s="1">
        <f t="shared" si="2"/>
        <v>45</v>
      </c>
      <c r="D20" s="1">
        <f t="shared" si="2"/>
        <v>-584.5</v>
      </c>
      <c r="E20" s="1">
        <f t="shared" si="2"/>
        <v>0</v>
      </c>
      <c r="F20" s="1">
        <f>sum(F2:F18)</f>
        <v>205</v>
      </c>
      <c r="G20" s="1">
        <f>sum(G2:G17)</f>
        <v>0</v>
      </c>
      <c r="I20" s="1" t="s">
        <v>22</v>
      </c>
      <c r="K20" s="1">
        <f>SUM(A20:G20)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/>
      <c r="H1" s="1" t="s">
        <v>13</v>
      </c>
    </row>
    <row r="2" ht="15.75" customHeight="1">
      <c r="A2" s="1">
        <v>-250.0</v>
      </c>
      <c r="B2" s="1">
        <v>-112.5</v>
      </c>
      <c r="C2" s="1">
        <v>447.5</v>
      </c>
      <c r="D2" s="1">
        <v>-85.0</v>
      </c>
    </row>
    <row r="3" ht="15.75" customHeight="1">
      <c r="A3" s="1">
        <v>200.0</v>
      </c>
      <c r="B3" s="1">
        <v>-250.0</v>
      </c>
      <c r="C3" s="1">
        <v>-222.5</v>
      </c>
      <c r="D3" s="1">
        <v>272.5</v>
      </c>
    </row>
    <row r="4" ht="15.75" customHeight="1">
      <c r="A4" s="1">
        <v>117.5</v>
      </c>
      <c r="B4" s="1">
        <v>112.5</v>
      </c>
      <c r="C4" s="1">
        <v>-250.0</v>
      </c>
      <c r="D4" s="1">
        <v>20.0</v>
      </c>
    </row>
    <row r="5" ht="15.75" customHeight="1">
      <c r="A5" s="1">
        <v>242.5</v>
      </c>
      <c r="B5" s="1">
        <v>-2.5</v>
      </c>
      <c r="C5" s="1">
        <v>10.0</v>
      </c>
      <c r="D5" s="1">
        <v>-250.0</v>
      </c>
    </row>
    <row r="6" ht="15.75" customHeight="1">
      <c r="A6" s="1">
        <v>222.5</v>
      </c>
      <c r="B6" s="1">
        <v>-12.5</v>
      </c>
      <c r="C6" s="1">
        <v>-250.0</v>
      </c>
      <c r="D6" s="1">
        <v>152.5</v>
      </c>
    </row>
    <row r="7" ht="15.75" customHeight="1">
      <c r="A7" s="1">
        <v>107.5</v>
      </c>
      <c r="B7" s="1">
        <v>10.0</v>
      </c>
      <c r="C7" s="1">
        <v>132.5</v>
      </c>
      <c r="D7" s="1">
        <v>-250.0</v>
      </c>
    </row>
    <row r="8" ht="15.75" customHeight="1"/>
    <row r="9" ht="15.75" customHeight="1">
      <c r="A9" s="1">
        <v>-430.0</v>
      </c>
      <c r="B9" s="1">
        <v>-55.0</v>
      </c>
      <c r="C9" s="1">
        <v>-7.5</v>
      </c>
      <c r="D9" s="1">
        <f>172.5</f>
        <v>172.5</v>
      </c>
      <c r="E9" s="1">
        <v>17.5</v>
      </c>
      <c r="F9" s="1">
        <v>190.0</v>
      </c>
      <c r="G9" s="1"/>
      <c r="H9" s="1" t="s">
        <v>19</v>
      </c>
    </row>
    <row r="10" ht="15.75" customHeight="1"/>
    <row r="11" ht="15.75" customHeight="1">
      <c r="A11" s="1">
        <f t="shared" ref="A11:F11" si="1">sum(A2:A10)</f>
        <v>210</v>
      </c>
      <c r="B11" s="1">
        <f t="shared" si="1"/>
        <v>-310</v>
      </c>
      <c r="C11" s="1">
        <f t="shared" si="1"/>
        <v>-140</v>
      </c>
      <c r="D11" s="1">
        <f t="shared" si="1"/>
        <v>32.5</v>
      </c>
      <c r="E11" s="1">
        <f t="shared" si="1"/>
        <v>17.5</v>
      </c>
      <c r="F11" s="1">
        <f t="shared" si="1"/>
        <v>190</v>
      </c>
      <c r="H11" s="1" t="s">
        <v>26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8" max="8" width="23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23</v>
      </c>
      <c r="H1" s="1" t="s">
        <v>13</v>
      </c>
    </row>
    <row r="2" ht="15.75" customHeight="1">
      <c r="A2" s="1">
        <v>-45.0</v>
      </c>
      <c r="B2" s="1">
        <v>-250.0</v>
      </c>
      <c r="C2" s="1">
        <v>158.0</v>
      </c>
      <c r="D2" s="1">
        <v>137.0</v>
      </c>
    </row>
    <row r="3" ht="15.75" customHeight="1">
      <c r="A3" s="1">
        <v>-10.0</v>
      </c>
      <c r="B3" s="1">
        <f>200</f>
        <v>200</v>
      </c>
      <c r="C3" s="1">
        <v>-28.0</v>
      </c>
      <c r="D3" s="1">
        <v>-145.0</v>
      </c>
    </row>
    <row r="4" ht="15.75" customHeight="1">
      <c r="A4" s="1">
        <v>-35.0</v>
      </c>
      <c r="B4" s="1">
        <v>-87.5</v>
      </c>
      <c r="C4" s="1">
        <v>67.5</v>
      </c>
      <c r="D4" s="1">
        <v>142.5</v>
      </c>
      <c r="E4" s="1">
        <v>-250.0</v>
      </c>
      <c r="F4" s="1">
        <v>162.5</v>
      </c>
    </row>
    <row r="5" ht="15.75" customHeight="1">
      <c r="A5" s="1">
        <v>-175.0</v>
      </c>
      <c r="B5" s="1">
        <v>52.5</v>
      </c>
      <c r="C5" s="1">
        <v>112.5</v>
      </c>
      <c r="D5" s="1">
        <v>167.5</v>
      </c>
      <c r="E5" s="1">
        <v>57.5</v>
      </c>
      <c r="F5" s="1">
        <v>-215.0</v>
      </c>
    </row>
    <row r="6" ht="15.75" customHeight="1">
      <c r="A6" s="1">
        <f>110</f>
        <v>110</v>
      </c>
      <c r="B6" s="1">
        <v>227.5</v>
      </c>
      <c r="C6" s="1">
        <v>0.0</v>
      </c>
      <c r="D6" s="1">
        <v>-167.5</v>
      </c>
      <c r="E6" s="1">
        <v>-12.5</v>
      </c>
      <c r="F6" s="1">
        <v>-157.5</v>
      </c>
    </row>
    <row r="7" ht="15.75" customHeight="1"/>
    <row r="8" ht="15.75" customHeight="1">
      <c r="B8" s="1">
        <v>-5.0</v>
      </c>
      <c r="C8" s="1">
        <v>-4.0</v>
      </c>
      <c r="E8" s="1"/>
      <c r="F8" s="1"/>
      <c r="H8" s="1" t="s">
        <v>19</v>
      </c>
    </row>
    <row r="9" ht="15.75" customHeight="1">
      <c r="B9" s="1">
        <v>-415.0</v>
      </c>
      <c r="E9" s="1">
        <f>205</f>
        <v>205</v>
      </c>
      <c r="F9" s="1">
        <f>210</f>
        <v>210</v>
      </c>
      <c r="H9" s="1" t="s">
        <v>24</v>
      </c>
    </row>
    <row r="10" ht="15.75" customHeight="1">
      <c r="A10" s="1">
        <f>452.5</f>
        <v>452.5</v>
      </c>
      <c r="B10" s="1">
        <v>-320.0</v>
      </c>
      <c r="D10" s="1">
        <v>-132.5</v>
      </c>
      <c r="E10" s="1"/>
      <c r="F10" s="1"/>
      <c r="H10" s="1" t="s">
        <v>25</v>
      </c>
    </row>
    <row r="11" ht="15.75" customHeight="1">
      <c r="E11" s="1"/>
      <c r="F11" s="1"/>
    </row>
    <row r="12" ht="15.75" customHeight="1">
      <c r="A12" s="1">
        <f t="shared" ref="A12:F12" si="1">sum(A2:A11)</f>
        <v>297.5</v>
      </c>
      <c r="B12" s="1">
        <f t="shared" si="1"/>
        <v>-597.5</v>
      </c>
      <c r="C12" s="1">
        <f t="shared" si="1"/>
        <v>306</v>
      </c>
      <c r="D12" s="1">
        <f t="shared" si="1"/>
        <v>2</v>
      </c>
      <c r="E12" s="1">
        <f t="shared" si="1"/>
        <v>0</v>
      </c>
      <c r="F12" s="1">
        <f t="shared" si="1"/>
        <v>0</v>
      </c>
      <c r="H12" s="1" t="s">
        <v>27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00.0"/>
    <col customWidth="1" min="4" max="4" width="80.0"/>
    <col customWidth="1" min="5" max="5" width="110.0"/>
    <col customWidth="1" min="6" max="6" width="90.0"/>
    <col customWidth="1" min="7" max="7" width="110.0"/>
    <col customWidth="1" min="8" max="8" width="180.0"/>
    <col customWidth="1" min="9" max="9" width="100.0"/>
    <col customWidth="1" min="10" max="26" width="8.63"/>
  </cols>
  <sheetData>
    <row r="1">
      <c r="A1" s="12" t="s">
        <v>28</v>
      </c>
      <c r="B1" s="12" t="s">
        <v>29</v>
      </c>
      <c r="C1" s="12" t="s">
        <v>30</v>
      </c>
      <c r="D1" s="12" t="s">
        <v>31</v>
      </c>
      <c r="E1" s="12" t="s">
        <v>32</v>
      </c>
      <c r="F1" s="12" t="s">
        <v>33</v>
      </c>
      <c r="G1" s="12" t="s">
        <v>34</v>
      </c>
      <c r="H1" s="12" t="s">
        <v>35</v>
      </c>
      <c r="I1" s="12" t="s">
        <v>36</v>
      </c>
    </row>
    <row r="2">
      <c r="A2" s="13" t="s">
        <v>37</v>
      </c>
      <c r="B2" s="13">
        <v>1.0</v>
      </c>
      <c r="C2" s="13" t="s">
        <v>38</v>
      </c>
      <c r="D2" s="13">
        <v>2.0</v>
      </c>
      <c r="E2" s="13">
        <v>4.0</v>
      </c>
      <c r="F2" s="13">
        <v>0.0</v>
      </c>
      <c r="G2" s="13" t="s">
        <v>39</v>
      </c>
      <c r="I2" s="13" t="s">
        <v>40</v>
      </c>
    </row>
    <row r="3">
      <c r="A3" s="13" t="s">
        <v>37</v>
      </c>
      <c r="B3" s="13">
        <v>2.0</v>
      </c>
      <c r="C3" s="13" t="s">
        <v>38</v>
      </c>
      <c r="D3" s="13">
        <v>3.0</v>
      </c>
      <c r="E3" s="13">
        <v>4.0</v>
      </c>
      <c r="F3" s="14">
        <v>17.0</v>
      </c>
      <c r="G3" s="14" t="s">
        <v>41</v>
      </c>
      <c r="H3" s="14"/>
      <c r="I3" s="14" t="s">
        <v>42</v>
      </c>
    </row>
    <row r="4">
      <c r="A4" s="13" t="s">
        <v>37</v>
      </c>
      <c r="B4" s="13">
        <v>3.0</v>
      </c>
      <c r="C4" s="13" t="s">
        <v>38</v>
      </c>
      <c r="D4" s="13">
        <v>4.0</v>
      </c>
      <c r="E4" s="13">
        <v>6.0</v>
      </c>
      <c r="F4" s="13">
        <v>0.0</v>
      </c>
      <c r="G4" s="13" t="s">
        <v>39</v>
      </c>
      <c r="I4" s="13" t="s">
        <v>40</v>
      </c>
    </row>
    <row r="5">
      <c r="A5" s="13" t="s">
        <v>37</v>
      </c>
      <c r="B5" s="13">
        <v>4.0</v>
      </c>
      <c r="C5" s="13" t="s">
        <v>38</v>
      </c>
      <c r="D5" s="13">
        <v>5.0</v>
      </c>
      <c r="E5" s="13">
        <v>6.0</v>
      </c>
      <c r="F5" s="13">
        <v>0.0</v>
      </c>
      <c r="G5" s="13" t="s">
        <v>39</v>
      </c>
      <c r="I5" s="13" t="s">
        <v>40</v>
      </c>
    </row>
    <row r="6">
      <c r="A6" s="13" t="s">
        <v>37</v>
      </c>
      <c r="B6" s="13">
        <v>5.0</v>
      </c>
      <c r="C6" s="13" t="s">
        <v>38</v>
      </c>
      <c r="D6" s="13">
        <v>6.0</v>
      </c>
      <c r="E6" s="13">
        <v>6.0</v>
      </c>
      <c r="F6" s="13">
        <v>0.0</v>
      </c>
      <c r="G6" s="13" t="s">
        <v>39</v>
      </c>
      <c r="I6" s="13" t="s">
        <v>40</v>
      </c>
    </row>
    <row r="7">
      <c r="A7" s="13" t="s">
        <v>43</v>
      </c>
      <c r="B7" s="13">
        <v>1.0</v>
      </c>
      <c r="C7" s="13" t="s">
        <v>44</v>
      </c>
      <c r="D7" s="13">
        <v>2.0</v>
      </c>
      <c r="E7" s="13">
        <v>4.0</v>
      </c>
      <c r="F7" s="13">
        <v>0.0</v>
      </c>
      <c r="G7" s="13" t="s">
        <v>39</v>
      </c>
      <c r="I7" s="13" t="s">
        <v>40</v>
      </c>
    </row>
    <row r="8">
      <c r="A8" s="13" t="s">
        <v>43</v>
      </c>
      <c r="B8" s="13">
        <v>2.0</v>
      </c>
      <c r="C8" s="13" t="s">
        <v>44</v>
      </c>
      <c r="D8" s="13">
        <v>3.0</v>
      </c>
      <c r="E8" s="13">
        <v>4.0</v>
      </c>
      <c r="F8" s="13">
        <v>0.0</v>
      </c>
      <c r="G8" s="13" t="s">
        <v>39</v>
      </c>
      <c r="I8" s="13" t="s">
        <v>40</v>
      </c>
    </row>
    <row r="9">
      <c r="A9" s="13" t="s">
        <v>43</v>
      </c>
      <c r="B9" s="13">
        <v>3.0</v>
      </c>
      <c r="C9" s="13" t="s">
        <v>44</v>
      </c>
      <c r="D9" s="13">
        <v>4.0</v>
      </c>
      <c r="E9" s="13">
        <v>4.0</v>
      </c>
      <c r="F9" s="13">
        <v>0.0</v>
      </c>
      <c r="G9" s="13" t="s">
        <v>39</v>
      </c>
      <c r="I9" s="13" t="s">
        <v>40</v>
      </c>
    </row>
    <row r="10">
      <c r="A10" s="13" t="s">
        <v>43</v>
      </c>
      <c r="B10" s="13">
        <v>4.0</v>
      </c>
      <c r="C10" s="13" t="s">
        <v>44</v>
      </c>
      <c r="D10" s="13">
        <v>5.0</v>
      </c>
      <c r="E10" s="13">
        <v>4.0</v>
      </c>
      <c r="F10" s="13">
        <v>0.0</v>
      </c>
      <c r="G10" s="13" t="s">
        <v>39</v>
      </c>
      <c r="I10" s="13" t="s">
        <v>40</v>
      </c>
    </row>
    <row r="11">
      <c r="A11" s="13" t="s">
        <v>43</v>
      </c>
      <c r="B11" s="13">
        <v>5.0</v>
      </c>
      <c r="C11" s="13" t="s">
        <v>44</v>
      </c>
      <c r="D11" s="13">
        <v>6.0</v>
      </c>
      <c r="E11" s="13">
        <v>4.0</v>
      </c>
      <c r="F11" s="14">
        <v>112.5</v>
      </c>
      <c r="G11" s="14" t="s">
        <v>41</v>
      </c>
      <c r="H11" s="14"/>
      <c r="I11" s="14" t="s">
        <v>42</v>
      </c>
    </row>
    <row r="12">
      <c r="A12" s="13" t="s">
        <v>43</v>
      </c>
      <c r="B12" s="13">
        <v>6.0</v>
      </c>
      <c r="C12" s="13" t="s">
        <v>44</v>
      </c>
      <c r="D12" s="13">
        <v>7.0</v>
      </c>
      <c r="E12" s="13">
        <v>4.0</v>
      </c>
      <c r="F12" s="13">
        <v>0.0</v>
      </c>
      <c r="G12" s="13" t="s">
        <v>39</v>
      </c>
      <c r="I12" s="13" t="s">
        <v>40</v>
      </c>
    </row>
    <row r="13">
      <c r="A13" s="13" t="s">
        <v>45</v>
      </c>
      <c r="B13" s="13">
        <v>1.0</v>
      </c>
      <c r="C13" s="13" t="s">
        <v>46</v>
      </c>
      <c r="D13" s="13">
        <v>2.0</v>
      </c>
      <c r="E13" s="13">
        <v>7.0</v>
      </c>
      <c r="F13" s="13">
        <v>0.0</v>
      </c>
      <c r="G13" s="13" t="s">
        <v>39</v>
      </c>
      <c r="I13" s="13" t="s">
        <v>40</v>
      </c>
    </row>
    <row r="14">
      <c r="A14" s="13" t="s">
        <v>45</v>
      </c>
      <c r="B14" s="13">
        <v>2.0</v>
      </c>
      <c r="C14" s="13" t="s">
        <v>46</v>
      </c>
      <c r="D14" s="13">
        <v>3.0</v>
      </c>
      <c r="E14" s="13">
        <v>7.0</v>
      </c>
      <c r="F14" s="13">
        <v>0.0</v>
      </c>
      <c r="G14" s="13" t="s">
        <v>39</v>
      </c>
      <c r="I14" s="13" t="s">
        <v>40</v>
      </c>
    </row>
    <row r="15">
      <c r="A15" s="13" t="s">
        <v>45</v>
      </c>
      <c r="B15" s="13">
        <v>3.0</v>
      </c>
      <c r="C15" s="13" t="s">
        <v>46</v>
      </c>
      <c r="D15" s="13">
        <v>4.0</v>
      </c>
      <c r="E15" s="13">
        <v>7.0</v>
      </c>
      <c r="F15" s="13">
        <v>0.0</v>
      </c>
      <c r="G15" s="13" t="s">
        <v>39</v>
      </c>
      <c r="I15" s="13" t="s">
        <v>40</v>
      </c>
    </row>
    <row r="16">
      <c r="A16" s="13" t="s">
        <v>45</v>
      </c>
      <c r="B16" s="13">
        <v>4.0</v>
      </c>
      <c r="C16" s="13" t="s">
        <v>46</v>
      </c>
      <c r="D16" s="13">
        <v>5.0</v>
      </c>
      <c r="E16" s="13">
        <v>7.0</v>
      </c>
      <c r="F16" s="13">
        <v>0.0</v>
      </c>
      <c r="G16" s="13" t="s">
        <v>39</v>
      </c>
      <c r="I16" s="13" t="s">
        <v>40</v>
      </c>
    </row>
    <row r="17">
      <c r="A17" s="13" t="s">
        <v>45</v>
      </c>
      <c r="B17" s="13">
        <v>5.0</v>
      </c>
      <c r="C17" s="13" t="s">
        <v>46</v>
      </c>
      <c r="D17" s="13">
        <v>6.0</v>
      </c>
      <c r="E17" s="13">
        <v>7.0</v>
      </c>
      <c r="F17" s="13">
        <v>0.0</v>
      </c>
      <c r="G17" s="13" t="s">
        <v>39</v>
      </c>
      <c r="I17" s="13" t="s">
        <v>40</v>
      </c>
    </row>
    <row r="18">
      <c r="A18" s="13" t="s">
        <v>45</v>
      </c>
      <c r="B18" s="13">
        <v>6.0</v>
      </c>
      <c r="C18" s="13" t="s">
        <v>46</v>
      </c>
      <c r="D18" s="13">
        <v>7.0</v>
      </c>
      <c r="E18" s="13">
        <v>7.0</v>
      </c>
      <c r="F18" s="13">
        <v>0.0</v>
      </c>
      <c r="G18" s="13" t="s">
        <v>39</v>
      </c>
      <c r="I18" s="13" t="s">
        <v>40</v>
      </c>
    </row>
    <row r="19">
      <c r="A19" s="13" t="s">
        <v>45</v>
      </c>
      <c r="B19" s="13">
        <v>7.0</v>
      </c>
      <c r="C19" s="13" t="s">
        <v>46</v>
      </c>
      <c r="D19" s="13">
        <v>8.0</v>
      </c>
      <c r="E19" s="13">
        <v>7.0</v>
      </c>
      <c r="F19" s="13">
        <v>0.0</v>
      </c>
      <c r="G19" s="13" t="s">
        <v>39</v>
      </c>
      <c r="I19" s="13" t="s">
        <v>40</v>
      </c>
    </row>
    <row r="20">
      <c r="A20" s="13" t="s">
        <v>45</v>
      </c>
      <c r="B20" s="13">
        <v>8.0</v>
      </c>
      <c r="C20" s="13" t="s">
        <v>46</v>
      </c>
      <c r="D20" s="13">
        <v>9.0</v>
      </c>
      <c r="E20" s="13">
        <v>7.0</v>
      </c>
      <c r="F20" s="13">
        <v>0.0</v>
      </c>
      <c r="G20" s="13" t="s">
        <v>39</v>
      </c>
      <c r="I20" s="13" t="s">
        <v>40</v>
      </c>
    </row>
    <row r="21" ht="15.75" customHeight="1">
      <c r="A21" s="13" t="s">
        <v>45</v>
      </c>
      <c r="B21" s="13">
        <v>9.0</v>
      </c>
      <c r="C21" s="13" t="s">
        <v>46</v>
      </c>
      <c r="D21" s="13">
        <v>10.0</v>
      </c>
      <c r="E21" s="13">
        <v>7.0</v>
      </c>
      <c r="F21" s="13">
        <v>0.0</v>
      </c>
      <c r="G21" s="13" t="s">
        <v>39</v>
      </c>
      <c r="I21" s="13" t="s">
        <v>40</v>
      </c>
    </row>
    <row r="22" ht="15.75" customHeight="1">
      <c r="A22" s="13" t="s">
        <v>45</v>
      </c>
      <c r="B22" s="13">
        <v>10.0</v>
      </c>
      <c r="C22" s="13" t="s">
        <v>46</v>
      </c>
      <c r="D22" s="13">
        <v>11.0</v>
      </c>
      <c r="E22" s="13">
        <v>7.0</v>
      </c>
      <c r="F22" s="14">
        <v>-0.5</v>
      </c>
      <c r="G22" s="14" t="s">
        <v>41</v>
      </c>
      <c r="H22" s="14"/>
      <c r="I22" s="14" t="s">
        <v>42</v>
      </c>
    </row>
    <row r="23" ht="15.75" customHeight="1">
      <c r="A23" s="13" t="s">
        <v>45</v>
      </c>
      <c r="B23" s="13">
        <v>11.0</v>
      </c>
      <c r="C23" s="13" t="s">
        <v>46</v>
      </c>
      <c r="D23" s="13">
        <v>12.0</v>
      </c>
      <c r="E23" s="13">
        <v>7.0</v>
      </c>
      <c r="F23" s="13">
        <v>0.0</v>
      </c>
      <c r="G23" s="13" t="s">
        <v>39</v>
      </c>
      <c r="H23" s="13" t="s">
        <v>17</v>
      </c>
      <c r="I23" s="13" t="s">
        <v>40</v>
      </c>
    </row>
    <row r="24" ht="15.75" customHeight="1">
      <c r="A24" s="13" t="s">
        <v>45</v>
      </c>
      <c r="B24" s="13">
        <v>12.0</v>
      </c>
      <c r="C24" s="13" t="s">
        <v>46</v>
      </c>
      <c r="D24" s="13">
        <v>13.0</v>
      </c>
      <c r="E24" s="13">
        <v>7.0</v>
      </c>
      <c r="F24" s="13">
        <v>0.0</v>
      </c>
      <c r="G24" s="13" t="s">
        <v>39</v>
      </c>
      <c r="I24" s="13" t="s">
        <v>40</v>
      </c>
    </row>
    <row r="25" ht="15.75" customHeight="1">
      <c r="A25" s="13" t="s">
        <v>45</v>
      </c>
      <c r="B25" s="13">
        <v>13.0</v>
      </c>
      <c r="C25" s="13" t="s">
        <v>46</v>
      </c>
      <c r="D25" s="13">
        <v>14.0</v>
      </c>
      <c r="E25" s="13">
        <v>7.0</v>
      </c>
      <c r="F25" s="13">
        <v>0.0</v>
      </c>
      <c r="G25" s="13" t="s">
        <v>39</v>
      </c>
      <c r="I25" s="13" t="s">
        <v>40</v>
      </c>
    </row>
    <row r="26" ht="15.75" customHeight="1">
      <c r="A26" s="13" t="s">
        <v>45</v>
      </c>
      <c r="B26" s="13">
        <v>14.0</v>
      </c>
      <c r="C26" s="13" t="s">
        <v>46</v>
      </c>
      <c r="D26" s="13">
        <v>15.0</v>
      </c>
      <c r="E26" s="13">
        <v>7.0</v>
      </c>
      <c r="F26" s="13">
        <v>0.0</v>
      </c>
      <c r="G26" s="13" t="s">
        <v>39</v>
      </c>
      <c r="I26" s="13" t="s">
        <v>40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0.0"/>
    <col customWidth="1" min="3" max="3" width="140.0"/>
    <col customWidth="1" min="4" max="5" width="90.0"/>
    <col customWidth="1" min="6" max="6" width="100.0"/>
    <col customWidth="1" min="7" max="7" width="80.0"/>
    <col customWidth="1" min="8" max="8" width="110.0"/>
    <col customWidth="1" min="9" max="26" width="8.63"/>
  </cols>
  <sheetData>
    <row r="1">
      <c r="A1" s="12" t="s">
        <v>28</v>
      </c>
      <c r="B1" s="12" t="s">
        <v>29</v>
      </c>
      <c r="C1" s="12" t="s">
        <v>47</v>
      </c>
      <c r="D1" s="12" t="s">
        <v>48</v>
      </c>
      <c r="E1" s="12" t="s">
        <v>49</v>
      </c>
      <c r="F1" s="12" t="s">
        <v>30</v>
      </c>
      <c r="G1" s="12" t="s">
        <v>31</v>
      </c>
      <c r="H1" s="12" t="s">
        <v>50</v>
      </c>
    </row>
    <row r="2">
      <c r="A2" s="13" t="s">
        <v>37</v>
      </c>
      <c r="B2" s="13">
        <v>1.0</v>
      </c>
      <c r="C2" s="13" t="s">
        <v>0</v>
      </c>
      <c r="D2" s="13">
        <v>-45.0</v>
      </c>
      <c r="E2" s="15" t="b">
        <v>1</v>
      </c>
      <c r="F2" s="13" t="s">
        <v>38</v>
      </c>
      <c r="G2" s="13">
        <v>2.0</v>
      </c>
      <c r="H2" s="13" t="s">
        <v>39</v>
      </c>
    </row>
    <row r="3">
      <c r="A3" s="13" t="s">
        <v>37</v>
      </c>
      <c r="B3" s="13">
        <v>1.0</v>
      </c>
      <c r="C3" s="13" t="s">
        <v>1</v>
      </c>
      <c r="D3" s="13">
        <v>-250.0</v>
      </c>
      <c r="E3" s="15" t="b">
        <v>1</v>
      </c>
      <c r="F3" s="13" t="s">
        <v>38</v>
      </c>
      <c r="G3" s="13">
        <v>2.0</v>
      </c>
      <c r="H3" s="13" t="s">
        <v>39</v>
      </c>
    </row>
    <row r="4">
      <c r="A4" s="13" t="s">
        <v>37</v>
      </c>
      <c r="B4" s="13">
        <v>1.0</v>
      </c>
      <c r="C4" s="13" t="s">
        <v>2</v>
      </c>
      <c r="D4" s="13">
        <v>158.0</v>
      </c>
      <c r="E4" s="15" t="b">
        <v>1</v>
      </c>
      <c r="F4" s="13" t="s">
        <v>38</v>
      </c>
      <c r="G4" s="13">
        <v>2.0</v>
      </c>
      <c r="H4" s="13" t="s">
        <v>39</v>
      </c>
    </row>
    <row r="5">
      <c r="A5" s="13" t="s">
        <v>37</v>
      </c>
      <c r="B5" s="13">
        <v>1.0</v>
      </c>
      <c r="C5" s="13" t="s">
        <v>3</v>
      </c>
      <c r="D5" s="13">
        <v>137.0</v>
      </c>
      <c r="E5" s="15" t="b">
        <v>1</v>
      </c>
      <c r="F5" s="13" t="s">
        <v>38</v>
      </c>
      <c r="G5" s="13">
        <v>2.0</v>
      </c>
      <c r="H5" s="13" t="s">
        <v>39</v>
      </c>
    </row>
    <row r="6">
      <c r="A6" s="13" t="s">
        <v>37</v>
      </c>
      <c r="B6" s="13">
        <v>2.0</v>
      </c>
      <c r="C6" s="13" t="s">
        <v>0</v>
      </c>
      <c r="D6" s="13">
        <v>-10.0</v>
      </c>
      <c r="E6" s="15" t="b">
        <v>1</v>
      </c>
      <c r="F6" s="13" t="s">
        <v>38</v>
      </c>
      <c r="G6" s="13">
        <v>3.0</v>
      </c>
      <c r="H6" s="13" t="s">
        <v>41</v>
      </c>
    </row>
    <row r="7">
      <c r="A7" s="13" t="s">
        <v>37</v>
      </c>
      <c r="B7" s="13">
        <v>2.0</v>
      </c>
      <c r="C7" s="13" t="s">
        <v>1</v>
      </c>
      <c r="D7" s="13">
        <v>200.0</v>
      </c>
      <c r="E7" s="15" t="b">
        <v>1</v>
      </c>
      <c r="F7" s="13" t="s">
        <v>38</v>
      </c>
      <c r="G7" s="13">
        <v>3.0</v>
      </c>
      <c r="H7" s="13" t="s">
        <v>41</v>
      </c>
    </row>
    <row r="8">
      <c r="A8" s="13" t="s">
        <v>37</v>
      </c>
      <c r="B8" s="13">
        <v>2.0</v>
      </c>
      <c r="C8" s="13" t="s">
        <v>2</v>
      </c>
      <c r="D8" s="13">
        <v>-28.0</v>
      </c>
      <c r="E8" s="15" t="b">
        <v>1</v>
      </c>
      <c r="F8" s="13" t="s">
        <v>38</v>
      </c>
      <c r="G8" s="13">
        <v>3.0</v>
      </c>
      <c r="H8" s="13" t="s">
        <v>41</v>
      </c>
    </row>
    <row r="9">
      <c r="A9" s="13" t="s">
        <v>37</v>
      </c>
      <c r="B9" s="13">
        <v>2.0</v>
      </c>
      <c r="C9" s="13" t="s">
        <v>3</v>
      </c>
      <c r="D9" s="13">
        <v>-145.0</v>
      </c>
      <c r="E9" s="15" t="b">
        <v>1</v>
      </c>
      <c r="F9" s="13" t="s">
        <v>38</v>
      </c>
      <c r="G9" s="13">
        <v>3.0</v>
      </c>
      <c r="H9" s="13" t="s">
        <v>41</v>
      </c>
    </row>
    <row r="10">
      <c r="A10" s="13" t="s">
        <v>37</v>
      </c>
      <c r="B10" s="13">
        <v>3.0</v>
      </c>
      <c r="C10" s="13" t="s">
        <v>0</v>
      </c>
      <c r="D10" s="13">
        <v>-35.0</v>
      </c>
      <c r="E10" s="15" t="b">
        <v>1</v>
      </c>
      <c r="F10" s="13" t="s">
        <v>38</v>
      </c>
      <c r="G10" s="13">
        <v>4.0</v>
      </c>
      <c r="H10" s="13" t="s">
        <v>39</v>
      </c>
    </row>
    <row r="11">
      <c r="A11" s="13" t="s">
        <v>37</v>
      </c>
      <c r="B11" s="13">
        <v>3.0</v>
      </c>
      <c r="C11" s="13" t="s">
        <v>1</v>
      </c>
      <c r="D11" s="13">
        <v>-87.5</v>
      </c>
      <c r="E11" s="15" t="b">
        <v>1</v>
      </c>
      <c r="F11" s="13" t="s">
        <v>38</v>
      </c>
      <c r="G11" s="13">
        <v>4.0</v>
      </c>
      <c r="H11" s="13" t="s">
        <v>39</v>
      </c>
    </row>
    <row r="12">
      <c r="A12" s="13" t="s">
        <v>37</v>
      </c>
      <c r="B12" s="13">
        <v>3.0</v>
      </c>
      <c r="C12" s="13" t="s">
        <v>2</v>
      </c>
      <c r="D12" s="13">
        <v>67.5</v>
      </c>
      <c r="E12" s="15" t="b">
        <v>1</v>
      </c>
      <c r="F12" s="13" t="s">
        <v>38</v>
      </c>
      <c r="G12" s="13">
        <v>4.0</v>
      </c>
      <c r="H12" s="13" t="s">
        <v>39</v>
      </c>
    </row>
    <row r="13">
      <c r="A13" s="13" t="s">
        <v>37</v>
      </c>
      <c r="B13" s="13">
        <v>3.0</v>
      </c>
      <c r="C13" s="13" t="s">
        <v>3</v>
      </c>
      <c r="D13" s="13">
        <v>142.5</v>
      </c>
      <c r="E13" s="15" t="b">
        <v>1</v>
      </c>
      <c r="F13" s="13" t="s">
        <v>38</v>
      </c>
      <c r="G13" s="13">
        <v>4.0</v>
      </c>
      <c r="H13" s="13" t="s">
        <v>39</v>
      </c>
    </row>
    <row r="14">
      <c r="A14" s="13" t="s">
        <v>37</v>
      </c>
      <c r="B14" s="13">
        <v>3.0</v>
      </c>
      <c r="C14" s="13" t="s">
        <v>7</v>
      </c>
      <c r="D14" s="13">
        <v>-250.0</v>
      </c>
      <c r="E14" s="15" t="b">
        <v>1</v>
      </c>
      <c r="F14" s="13" t="s">
        <v>38</v>
      </c>
      <c r="G14" s="13">
        <v>4.0</v>
      </c>
      <c r="H14" s="13" t="s">
        <v>39</v>
      </c>
    </row>
    <row r="15">
      <c r="A15" s="13" t="s">
        <v>37</v>
      </c>
      <c r="B15" s="13">
        <v>3.0</v>
      </c>
      <c r="C15" s="13" t="s">
        <v>23</v>
      </c>
      <c r="D15" s="13">
        <v>162.5</v>
      </c>
      <c r="E15" s="15" t="b">
        <v>1</v>
      </c>
      <c r="F15" s="13" t="s">
        <v>38</v>
      </c>
      <c r="G15" s="13">
        <v>4.0</v>
      </c>
      <c r="H15" s="13" t="s">
        <v>39</v>
      </c>
    </row>
    <row r="16">
      <c r="A16" s="13" t="s">
        <v>37</v>
      </c>
      <c r="B16" s="13">
        <v>4.0</v>
      </c>
      <c r="C16" s="13" t="s">
        <v>0</v>
      </c>
      <c r="D16" s="13">
        <v>-175.0</v>
      </c>
      <c r="E16" s="15" t="b">
        <v>1</v>
      </c>
      <c r="F16" s="13" t="s">
        <v>38</v>
      </c>
      <c r="G16" s="13">
        <v>5.0</v>
      </c>
      <c r="H16" s="13" t="s">
        <v>39</v>
      </c>
    </row>
    <row r="17">
      <c r="A17" s="13" t="s">
        <v>37</v>
      </c>
      <c r="B17" s="13">
        <v>4.0</v>
      </c>
      <c r="C17" s="13" t="s">
        <v>1</v>
      </c>
      <c r="D17" s="13">
        <v>52.5</v>
      </c>
      <c r="E17" s="15" t="b">
        <v>1</v>
      </c>
      <c r="F17" s="13" t="s">
        <v>38</v>
      </c>
      <c r="G17" s="13">
        <v>5.0</v>
      </c>
      <c r="H17" s="13" t="s">
        <v>39</v>
      </c>
    </row>
    <row r="18">
      <c r="A18" s="13" t="s">
        <v>37</v>
      </c>
      <c r="B18" s="13">
        <v>4.0</v>
      </c>
      <c r="C18" s="13" t="s">
        <v>2</v>
      </c>
      <c r="D18" s="13">
        <v>112.5</v>
      </c>
      <c r="E18" s="15" t="b">
        <v>1</v>
      </c>
      <c r="F18" s="13" t="s">
        <v>38</v>
      </c>
      <c r="G18" s="13">
        <v>5.0</v>
      </c>
      <c r="H18" s="13" t="s">
        <v>39</v>
      </c>
    </row>
    <row r="19">
      <c r="A19" s="13" t="s">
        <v>37</v>
      </c>
      <c r="B19" s="13">
        <v>4.0</v>
      </c>
      <c r="C19" s="13" t="s">
        <v>3</v>
      </c>
      <c r="D19" s="13">
        <v>167.5</v>
      </c>
      <c r="E19" s="15" t="b">
        <v>1</v>
      </c>
      <c r="F19" s="13" t="s">
        <v>38</v>
      </c>
      <c r="G19" s="13">
        <v>5.0</v>
      </c>
      <c r="H19" s="13" t="s">
        <v>39</v>
      </c>
    </row>
    <row r="20">
      <c r="A20" s="13" t="s">
        <v>37</v>
      </c>
      <c r="B20" s="13">
        <v>4.0</v>
      </c>
      <c r="C20" s="13" t="s">
        <v>7</v>
      </c>
      <c r="D20" s="13">
        <v>57.5</v>
      </c>
      <c r="E20" s="15" t="b">
        <v>1</v>
      </c>
      <c r="F20" s="13" t="s">
        <v>38</v>
      </c>
      <c r="G20" s="13">
        <v>5.0</v>
      </c>
      <c r="H20" s="13" t="s">
        <v>39</v>
      </c>
    </row>
    <row r="21" ht="15.75" customHeight="1">
      <c r="A21" s="13" t="s">
        <v>37</v>
      </c>
      <c r="B21" s="13">
        <v>4.0</v>
      </c>
      <c r="C21" s="13" t="s">
        <v>23</v>
      </c>
      <c r="D21" s="13">
        <v>-215.0</v>
      </c>
      <c r="E21" s="15" t="b">
        <v>1</v>
      </c>
      <c r="F21" s="13" t="s">
        <v>38</v>
      </c>
      <c r="G21" s="13">
        <v>5.0</v>
      </c>
      <c r="H21" s="13" t="s">
        <v>39</v>
      </c>
    </row>
    <row r="22" ht="15.75" customHeight="1">
      <c r="A22" s="13" t="s">
        <v>37</v>
      </c>
      <c r="B22" s="13">
        <v>5.0</v>
      </c>
      <c r="C22" s="13" t="s">
        <v>0</v>
      </c>
      <c r="D22" s="13">
        <v>110.0</v>
      </c>
      <c r="E22" s="15" t="b">
        <v>1</v>
      </c>
      <c r="F22" s="13" t="s">
        <v>38</v>
      </c>
      <c r="G22" s="13">
        <v>6.0</v>
      </c>
      <c r="H22" s="13" t="s">
        <v>39</v>
      </c>
    </row>
    <row r="23" ht="15.75" customHeight="1">
      <c r="A23" s="13" t="s">
        <v>37</v>
      </c>
      <c r="B23" s="13">
        <v>5.0</v>
      </c>
      <c r="C23" s="13" t="s">
        <v>1</v>
      </c>
      <c r="D23" s="13">
        <v>227.5</v>
      </c>
      <c r="E23" s="15" t="b">
        <v>1</v>
      </c>
      <c r="F23" s="13" t="s">
        <v>38</v>
      </c>
      <c r="G23" s="13">
        <v>6.0</v>
      </c>
      <c r="H23" s="13" t="s">
        <v>39</v>
      </c>
    </row>
    <row r="24" ht="15.75" customHeight="1">
      <c r="A24" s="13" t="s">
        <v>37</v>
      </c>
      <c r="B24" s="13">
        <v>5.0</v>
      </c>
      <c r="C24" s="13" t="s">
        <v>2</v>
      </c>
      <c r="D24" s="13">
        <v>0.0</v>
      </c>
      <c r="E24" s="15" t="b">
        <v>1</v>
      </c>
      <c r="F24" s="13" t="s">
        <v>38</v>
      </c>
      <c r="G24" s="13">
        <v>6.0</v>
      </c>
      <c r="H24" s="13" t="s">
        <v>39</v>
      </c>
    </row>
    <row r="25" ht="15.75" customHeight="1">
      <c r="A25" s="13" t="s">
        <v>37</v>
      </c>
      <c r="B25" s="13">
        <v>5.0</v>
      </c>
      <c r="C25" s="13" t="s">
        <v>3</v>
      </c>
      <c r="D25" s="13">
        <v>-167.5</v>
      </c>
      <c r="E25" s="15" t="b">
        <v>1</v>
      </c>
      <c r="F25" s="13" t="s">
        <v>38</v>
      </c>
      <c r="G25" s="13">
        <v>6.0</v>
      </c>
      <c r="H25" s="13" t="s">
        <v>39</v>
      </c>
    </row>
    <row r="26" ht="15.75" customHeight="1">
      <c r="A26" s="13" t="s">
        <v>37</v>
      </c>
      <c r="B26" s="13">
        <v>5.0</v>
      </c>
      <c r="C26" s="13" t="s">
        <v>7</v>
      </c>
      <c r="D26" s="13">
        <v>-12.5</v>
      </c>
      <c r="E26" s="15" t="b">
        <v>1</v>
      </c>
      <c r="F26" s="13" t="s">
        <v>38</v>
      </c>
      <c r="G26" s="13">
        <v>6.0</v>
      </c>
      <c r="H26" s="13" t="s">
        <v>39</v>
      </c>
    </row>
    <row r="27" ht="15.75" customHeight="1">
      <c r="A27" s="13" t="s">
        <v>37</v>
      </c>
      <c r="B27" s="13">
        <v>5.0</v>
      </c>
      <c r="C27" s="13" t="s">
        <v>23</v>
      </c>
      <c r="D27" s="13">
        <v>-157.5</v>
      </c>
      <c r="E27" s="15" t="b">
        <v>1</v>
      </c>
      <c r="F27" s="13" t="s">
        <v>38</v>
      </c>
      <c r="G27" s="13">
        <v>6.0</v>
      </c>
      <c r="H27" s="13" t="s">
        <v>39</v>
      </c>
    </row>
    <row r="28" ht="15.75" customHeight="1">
      <c r="A28" s="13" t="s">
        <v>43</v>
      </c>
      <c r="B28" s="13">
        <v>1.0</v>
      </c>
      <c r="C28" s="13" t="s">
        <v>0</v>
      </c>
      <c r="D28" s="13">
        <v>-250.0</v>
      </c>
      <c r="E28" s="15" t="b">
        <v>1</v>
      </c>
      <c r="F28" s="13" t="s">
        <v>44</v>
      </c>
      <c r="G28" s="13">
        <v>2.0</v>
      </c>
      <c r="H28" s="13" t="s">
        <v>39</v>
      </c>
    </row>
    <row r="29" ht="15.75" customHeight="1">
      <c r="A29" s="13" t="s">
        <v>43</v>
      </c>
      <c r="B29" s="13">
        <v>1.0</v>
      </c>
      <c r="C29" s="13" t="s">
        <v>1</v>
      </c>
      <c r="D29" s="13">
        <v>-112.5</v>
      </c>
      <c r="E29" s="15" t="b">
        <v>1</v>
      </c>
      <c r="F29" s="13" t="s">
        <v>44</v>
      </c>
      <c r="G29" s="13">
        <v>2.0</v>
      </c>
      <c r="H29" s="13" t="s">
        <v>39</v>
      </c>
    </row>
    <row r="30" ht="15.75" customHeight="1">
      <c r="A30" s="13" t="s">
        <v>43</v>
      </c>
      <c r="B30" s="13">
        <v>1.0</v>
      </c>
      <c r="C30" s="13" t="s">
        <v>2</v>
      </c>
      <c r="D30" s="13">
        <v>447.5</v>
      </c>
      <c r="E30" s="15" t="b">
        <v>1</v>
      </c>
      <c r="F30" s="13" t="s">
        <v>44</v>
      </c>
      <c r="G30" s="13">
        <v>2.0</v>
      </c>
      <c r="H30" s="13" t="s">
        <v>39</v>
      </c>
    </row>
    <row r="31" ht="15.75" customHeight="1">
      <c r="A31" s="13" t="s">
        <v>43</v>
      </c>
      <c r="B31" s="13">
        <v>1.0</v>
      </c>
      <c r="C31" s="13" t="s">
        <v>3</v>
      </c>
      <c r="D31" s="13">
        <v>-85.0</v>
      </c>
      <c r="E31" s="15" t="b">
        <v>1</v>
      </c>
      <c r="F31" s="13" t="s">
        <v>44</v>
      </c>
      <c r="G31" s="13">
        <v>2.0</v>
      </c>
      <c r="H31" s="13" t="s">
        <v>39</v>
      </c>
    </row>
    <row r="32" ht="15.75" customHeight="1">
      <c r="A32" s="13" t="s">
        <v>43</v>
      </c>
      <c r="B32" s="13">
        <v>2.0</v>
      </c>
      <c r="C32" s="13" t="s">
        <v>0</v>
      </c>
      <c r="D32" s="13">
        <v>200.0</v>
      </c>
      <c r="E32" s="15" t="b">
        <v>1</v>
      </c>
      <c r="F32" s="13" t="s">
        <v>44</v>
      </c>
      <c r="G32" s="13">
        <v>3.0</v>
      </c>
      <c r="H32" s="13" t="s">
        <v>39</v>
      </c>
    </row>
    <row r="33" ht="15.75" customHeight="1">
      <c r="A33" s="13" t="s">
        <v>43</v>
      </c>
      <c r="B33" s="13">
        <v>2.0</v>
      </c>
      <c r="C33" s="13" t="s">
        <v>1</v>
      </c>
      <c r="D33" s="13">
        <v>-250.0</v>
      </c>
      <c r="E33" s="15" t="b">
        <v>1</v>
      </c>
      <c r="F33" s="13" t="s">
        <v>44</v>
      </c>
      <c r="G33" s="13">
        <v>3.0</v>
      </c>
      <c r="H33" s="13" t="s">
        <v>39</v>
      </c>
    </row>
    <row r="34" ht="15.75" customHeight="1">
      <c r="A34" s="13" t="s">
        <v>43</v>
      </c>
      <c r="B34" s="13">
        <v>2.0</v>
      </c>
      <c r="C34" s="13" t="s">
        <v>2</v>
      </c>
      <c r="D34" s="13">
        <v>-222.5</v>
      </c>
      <c r="E34" s="15" t="b">
        <v>1</v>
      </c>
      <c r="F34" s="13" t="s">
        <v>44</v>
      </c>
      <c r="G34" s="13">
        <v>3.0</v>
      </c>
      <c r="H34" s="13" t="s">
        <v>39</v>
      </c>
    </row>
    <row r="35" ht="15.75" customHeight="1">
      <c r="A35" s="13" t="s">
        <v>43</v>
      </c>
      <c r="B35" s="13">
        <v>2.0</v>
      </c>
      <c r="C35" s="13" t="s">
        <v>3</v>
      </c>
      <c r="D35" s="13">
        <v>272.5</v>
      </c>
      <c r="E35" s="15" t="b">
        <v>1</v>
      </c>
      <c r="F35" s="13" t="s">
        <v>44</v>
      </c>
      <c r="G35" s="13">
        <v>3.0</v>
      </c>
      <c r="H35" s="13" t="s">
        <v>39</v>
      </c>
    </row>
    <row r="36" ht="15.75" customHeight="1">
      <c r="A36" s="13" t="s">
        <v>43</v>
      </c>
      <c r="B36" s="13">
        <v>3.0</v>
      </c>
      <c r="C36" s="13" t="s">
        <v>0</v>
      </c>
      <c r="D36" s="13">
        <v>117.5</v>
      </c>
      <c r="E36" s="15" t="b">
        <v>1</v>
      </c>
      <c r="F36" s="13" t="s">
        <v>44</v>
      </c>
      <c r="G36" s="13">
        <v>4.0</v>
      </c>
      <c r="H36" s="13" t="s">
        <v>39</v>
      </c>
    </row>
    <row r="37" ht="15.75" customHeight="1">
      <c r="A37" s="13" t="s">
        <v>43</v>
      </c>
      <c r="B37" s="13">
        <v>3.0</v>
      </c>
      <c r="C37" s="13" t="s">
        <v>1</v>
      </c>
      <c r="D37" s="13">
        <v>112.5</v>
      </c>
      <c r="E37" s="15" t="b">
        <v>1</v>
      </c>
      <c r="F37" s="13" t="s">
        <v>44</v>
      </c>
      <c r="G37" s="13">
        <v>4.0</v>
      </c>
      <c r="H37" s="13" t="s">
        <v>39</v>
      </c>
    </row>
    <row r="38" ht="15.75" customHeight="1">
      <c r="A38" s="13" t="s">
        <v>43</v>
      </c>
      <c r="B38" s="13">
        <v>3.0</v>
      </c>
      <c r="C38" s="13" t="s">
        <v>2</v>
      </c>
      <c r="D38" s="13">
        <v>-250.0</v>
      </c>
      <c r="E38" s="15" t="b">
        <v>1</v>
      </c>
      <c r="F38" s="13" t="s">
        <v>44</v>
      </c>
      <c r="G38" s="13">
        <v>4.0</v>
      </c>
      <c r="H38" s="13" t="s">
        <v>39</v>
      </c>
    </row>
    <row r="39" ht="15.75" customHeight="1">
      <c r="A39" s="13" t="s">
        <v>43</v>
      </c>
      <c r="B39" s="13">
        <v>3.0</v>
      </c>
      <c r="C39" s="13" t="s">
        <v>3</v>
      </c>
      <c r="D39" s="13">
        <v>20.0</v>
      </c>
      <c r="E39" s="15" t="b">
        <v>1</v>
      </c>
      <c r="F39" s="13" t="s">
        <v>44</v>
      </c>
      <c r="G39" s="13">
        <v>4.0</v>
      </c>
      <c r="H39" s="13" t="s">
        <v>39</v>
      </c>
    </row>
    <row r="40" ht="15.75" customHeight="1">
      <c r="A40" s="13" t="s">
        <v>43</v>
      </c>
      <c r="B40" s="13">
        <v>4.0</v>
      </c>
      <c r="C40" s="13" t="s">
        <v>0</v>
      </c>
      <c r="D40" s="13">
        <v>242.5</v>
      </c>
      <c r="E40" s="15" t="b">
        <v>1</v>
      </c>
      <c r="F40" s="13" t="s">
        <v>44</v>
      </c>
      <c r="G40" s="13">
        <v>5.0</v>
      </c>
      <c r="H40" s="13" t="s">
        <v>39</v>
      </c>
    </row>
    <row r="41" ht="15.75" customHeight="1">
      <c r="A41" s="13" t="s">
        <v>43</v>
      </c>
      <c r="B41" s="13">
        <v>4.0</v>
      </c>
      <c r="C41" s="13" t="s">
        <v>1</v>
      </c>
      <c r="D41" s="13">
        <v>-2.5</v>
      </c>
      <c r="E41" s="15" t="b">
        <v>1</v>
      </c>
      <c r="F41" s="13" t="s">
        <v>44</v>
      </c>
      <c r="G41" s="13">
        <v>5.0</v>
      </c>
      <c r="H41" s="13" t="s">
        <v>39</v>
      </c>
    </row>
    <row r="42" ht="15.75" customHeight="1">
      <c r="A42" s="13" t="s">
        <v>43</v>
      </c>
      <c r="B42" s="13">
        <v>4.0</v>
      </c>
      <c r="C42" s="13" t="s">
        <v>2</v>
      </c>
      <c r="D42" s="13">
        <v>10.0</v>
      </c>
      <c r="E42" s="15" t="b">
        <v>1</v>
      </c>
      <c r="F42" s="13" t="s">
        <v>44</v>
      </c>
      <c r="G42" s="13">
        <v>5.0</v>
      </c>
      <c r="H42" s="13" t="s">
        <v>39</v>
      </c>
    </row>
    <row r="43" ht="15.75" customHeight="1">
      <c r="A43" s="13" t="s">
        <v>43</v>
      </c>
      <c r="B43" s="13">
        <v>4.0</v>
      </c>
      <c r="C43" s="13" t="s">
        <v>3</v>
      </c>
      <c r="D43" s="13">
        <v>-250.0</v>
      </c>
      <c r="E43" s="15" t="b">
        <v>1</v>
      </c>
      <c r="F43" s="13" t="s">
        <v>44</v>
      </c>
      <c r="G43" s="13">
        <v>5.0</v>
      </c>
      <c r="H43" s="13" t="s">
        <v>39</v>
      </c>
    </row>
    <row r="44" ht="15.75" customHeight="1">
      <c r="A44" s="13" t="s">
        <v>43</v>
      </c>
      <c r="B44" s="13">
        <v>5.0</v>
      </c>
      <c r="C44" s="13" t="s">
        <v>0</v>
      </c>
      <c r="D44" s="13">
        <v>222.5</v>
      </c>
      <c r="E44" s="15" t="b">
        <v>1</v>
      </c>
      <c r="F44" s="13" t="s">
        <v>44</v>
      </c>
      <c r="G44" s="13">
        <v>6.0</v>
      </c>
      <c r="H44" s="13" t="s">
        <v>41</v>
      </c>
    </row>
    <row r="45" ht="15.75" customHeight="1">
      <c r="A45" s="13" t="s">
        <v>43</v>
      </c>
      <c r="B45" s="13">
        <v>5.0</v>
      </c>
      <c r="C45" s="13" t="s">
        <v>1</v>
      </c>
      <c r="D45" s="13">
        <v>-12.5</v>
      </c>
      <c r="E45" s="15" t="b">
        <v>1</v>
      </c>
      <c r="F45" s="13" t="s">
        <v>44</v>
      </c>
      <c r="G45" s="13">
        <v>6.0</v>
      </c>
      <c r="H45" s="13" t="s">
        <v>41</v>
      </c>
    </row>
    <row r="46" ht="15.75" customHeight="1">
      <c r="A46" s="13" t="s">
        <v>43</v>
      </c>
      <c r="B46" s="13">
        <v>5.0</v>
      </c>
      <c r="C46" s="13" t="s">
        <v>2</v>
      </c>
      <c r="D46" s="13">
        <v>-250.0</v>
      </c>
      <c r="E46" s="15" t="b">
        <v>1</v>
      </c>
      <c r="F46" s="13" t="s">
        <v>44</v>
      </c>
      <c r="G46" s="13">
        <v>6.0</v>
      </c>
      <c r="H46" s="13" t="s">
        <v>41</v>
      </c>
    </row>
    <row r="47" ht="15.75" customHeight="1">
      <c r="A47" s="13" t="s">
        <v>43</v>
      </c>
      <c r="B47" s="13">
        <v>5.0</v>
      </c>
      <c r="C47" s="13" t="s">
        <v>3</v>
      </c>
      <c r="D47" s="13">
        <v>152.5</v>
      </c>
      <c r="E47" s="15" t="b">
        <v>1</v>
      </c>
      <c r="F47" s="13" t="s">
        <v>44</v>
      </c>
      <c r="G47" s="13">
        <v>6.0</v>
      </c>
      <c r="H47" s="13" t="s">
        <v>41</v>
      </c>
    </row>
    <row r="48" ht="15.75" customHeight="1">
      <c r="A48" s="13" t="s">
        <v>43</v>
      </c>
      <c r="B48" s="13">
        <v>6.0</v>
      </c>
      <c r="C48" s="13" t="s">
        <v>0</v>
      </c>
      <c r="D48" s="13">
        <v>107.5</v>
      </c>
      <c r="E48" s="15" t="b">
        <v>1</v>
      </c>
      <c r="F48" s="13" t="s">
        <v>44</v>
      </c>
      <c r="G48" s="13">
        <v>7.0</v>
      </c>
      <c r="H48" s="13" t="s">
        <v>39</v>
      </c>
    </row>
    <row r="49" ht="15.75" customHeight="1">
      <c r="A49" s="13" t="s">
        <v>43</v>
      </c>
      <c r="B49" s="13">
        <v>6.0</v>
      </c>
      <c r="C49" s="13" t="s">
        <v>1</v>
      </c>
      <c r="D49" s="13">
        <v>10.0</v>
      </c>
      <c r="E49" s="15" t="b">
        <v>1</v>
      </c>
      <c r="F49" s="13" t="s">
        <v>44</v>
      </c>
      <c r="G49" s="13">
        <v>7.0</v>
      </c>
      <c r="H49" s="13" t="s">
        <v>39</v>
      </c>
    </row>
    <row r="50" ht="15.75" customHeight="1">
      <c r="A50" s="13" t="s">
        <v>43</v>
      </c>
      <c r="B50" s="13">
        <v>6.0</v>
      </c>
      <c r="C50" s="13" t="s">
        <v>2</v>
      </c>
      <c r="D50" s="13">
        <v>132.5</v>
      </c>
      <c r="E50" s="15" t="b">
        <v>1</v>
      </c>
      <c r="F50" s="13" t="s">
        <v>44</v>
      </c>
      <c r="G50" s="13">
        <v>7.0</v>
      </c>
      <c r="H50" s="13" t="s">
        <v>39</v>
      </c>
    </row>
    <row r="51" ht="15.75" customHeight="1">
      <c r="A51" s="13" t="s">
        <v>43</v>
      </c>
      <c r="B51" s="13">
        <v>6.0</v>
      </c>
      <c r="C51" s="13" t="s">
        <v>3</v>
      </c>
      <c r="D51" s="13">
        <v>-250.0</v>
      </c>
      <c r="E51" s="15" t="b">
        <v>1</v>
      </c>
      <c r="F51" s="13" t="s">
        <v>44</v>
      </c>
      <c r="G51" s="13">
        <v>7.0</v>
      </c>
      <c r="H51" s="13" t="s">
        <v>39</v>
      </c>
    </row>
    <row r="52" ht="15.75" customHeight="1">
      <c r="A52" s="13" t="s">
        <v>45</v>
      </c>
      <c r="B52" s="13">
        <v>1.0</v>
      </c>
      <c r="C52" s="13" t="s">
        <v>0</v>
      </c>
      <c r="D52" s="13">
        <v>-100.0</v>
      </c>
      <c r="E52" s="15" t="b">
        <v>1</v>
      </c>
      <c r="F52" s="13" t="s">
        <v>46</v>
      </c>
      <c r="G52" s="13">
        <v>2.0</v>
      </c>
      <c r="H52" s="13" t="s">
        <v>39</v>
      </c>
    </row>
    <row r="53" ht="15.75" customHeight="1">
      <c r="A53" s="13" t="s">
        <v>45</v>
      </c>
      <c r="B53" s="13">
        <v>1.0</v>
      </c>
      <c r="C53" s="13" t="s">
        <v>1</v>
      </c>
      <c r="D53" s="13">
        <v>102.0</v>
      </c>
      <c r="E53" s="15" t="b">
        <v>1</v>
      </c>
      <c r="F53" s="13" t="s">
        <v>46</v>
      </c>
      <c r="G53" s="13">
        <v>2.0</v>
      </c>
      <c r="H53" s="13" t="s">
        <v>39</v>
      </c>
    </row>
    <row r="54" ht="15.75" customHeight="1">
      <c r="A54" s="13" t="s">
        <v>45</v>
      </c>
      <c r="B54" s="13">
        <v>1.0</v>
      </c>
      <c r="C54" s="13" t="s">
        <v>3</v>
      </c>
      <c r="D54" s="13">
        <v>0.0</v>
      </c>
      <c r="E54" s="15" t="b">
        <v>1</v>
      </c>
      <c r="F54" s="13" t="s">
        <v>46</v>
      </c>
      <c r="G54" s="13">
        <v>2.0</v>
      </c>
      <c r="H54" s="13" t="s">
        <v>39</v>
      </c>
    </row>
    <row r="55" ht="15.75" customHeight="1">
      <c r="A55" s="13" t="s">
        <v>45</v>
      </c>
      <c r="B55" s="13">
        <v>1.0</v>
      </c>
      <c r="C55" s="13" t="s">
        <v>6</v>
      </c>
      <c r="D55" s="13">
        <v>-2.0</v>
      </c>
      <c r="E55" s="15" t="b">
        <v>1</v>
      </c>
      <c r="F55" s="13" t="s">
        <v>46</v>
      </c>
      <c r="G55" s="13">
        <v>2.0</v>
      </c>
      <c r="H55" s="13" t="s">
        <v>39</v>
      </c>
    </row>
    <row r="56" ht="15.75" customHeight="1">
      <c r="A56" s="13" t="s">
        <v>45</v>
      </c>
      <c r="B56" s="13">
        <v>1.0</v>
      </c>
      <c r="C56" s="13" t="s">
        <v>10</v>
      </c>
      <c r="D56" s="13">
        <v>0.0</v>
      </c>
      <c r="E56" s="15" t="b">
        <v>1</v>
      </c>
      <c r="F56" s="13" t="s">
        <v>46</v>
      </c>
      <c r="G56" s="13">
        <v>2.0</v>
      </c>
      <c r="H56" s="13" t="s">
        <v>39</v>
      </c>
    </row>
    <row r="57" ht="15.75" customHeight="1">
      <c r="A57" s="13" t="s">
        <v>45</v>
      </c>
      <c r="B57" s="13">
        <v>1.0</v>
      </c>
      <c r="C57" s="13" t="s">
        <v>11</v>
      </c>
      <c r="D57" s="13">
        <v>0.0</v>
      </c>
      <c r="E57" s="15" t="b">
        <v>1</v>
      </c>
      <c r="F57" s="13" t="s">
        <v>46</v>
      </c>
      <c r="G57" s="13">
        <v>2.0</v>
      </c>
      <c r="H57" s="13" t="s">
        <v>39</v>
      </c>
    </row>
    <row r="58" ht="15.75" customHeight="1">
      <c r="A58" s="13" t="s">
        <v>45</v>
      </c>
      <c r="B58" s="13">
        <v>1.0</v>
      </c>
      <c r="C58" s="13" t="s">
        <v>12</v>
      </c>
      <c r="D58" s="13">
        <v>0.0</v>
      </c>
      <c r="E58" s="15" t="b">
        <v>1</v>
      </c>
      <c r="F58" s="13" t="s">
        <v>46</v>
      </c>
      <c r="G58" s="13">
        <v>2.0</v>
      </c>
      <c r="H58" s="13" t="s">
        <v>39</v>
      </c>
    </row>
    <row r="59" ht="15.75" customHeight="1">
      <c r="A59" s="13" t="s">
        <v>45</v>
      </c>
      <c r="B59" s="13">
        <v>2.0</v>
      </c>
      <c r="C59" s="13" t="s">
        <v>0</v>
      </c>
      <c r="D59" s="13">
        <v>-12.0</v>
      </c>
      <c r="E59" s="15" t="b">
        <v>1</v>
      </c>
      <c r="F59" s="13" t="s">
        <v>46</v>
      </c>
      <c r="G59" s="13">
        <v>3.0</v>
      </c>
      <c r="H59" s="13" t="s">
        <v>39</v>
      </c>
    </row>
    <row r="60" ht="15.75" customHeight="1">
      <c r="A60" s="13" t="s">
        <v>45</v>
      </c>
      <c r="B60" s="13">
        <v>2.0</v>
      </c>
      <c r="C60" s="13" t="s">
        <v>1</v>
      </c>
      <c r="D60" s="13">
        <v>-38.0</v>
      </c>
      <c r="E60" s="15" t="b">
        <v>1</v>
      </c>
      <c r="F60" s="13" t="s">
        <v>46</v>
      </c>
      <c r="G60" s="13">
        <v>3.0</v>
      </c>
      <c r="H60" s="13" t="s">
        <v>39</v>
      </c>
    </row>
    <row r="61" ht="15.75" customHeight="1">
      <c r="A61" s="13" t="s">
        <v>45</v>
      </c>
      <c r="B61" s="13">
        <v>2.0</v>
      </c>
      <c r="C61" s="13" t="s">
        <v>3</v>
      </c>
      <c r="D61" s="13">
        <v>0.0</v>
      </c>
      <c r="E61" s="15" t="b">
        <v>1</v>
      </c>
      <c r="F61" s="13" t="s">
        <v>46</v>
      </c>
      <c r="G61" s="13">
        <v>3.0</v>
      </c>
      <c r="H61" s="13" t="s">
        <v>39</v>
      </c>
    </row>
    <row r="62" ht="15.75" customHeight="1">
      <c r="A62" s="13" t="s">
        <v>45</v>
      </c>
      <c r="B62" s="13">
        <v>2.0</v>
      </c>
      <c r="C62" s="13" t="s">
        <v>6</v>
      </c>
      <c r="D62" s="13">
        <v>50.0</v>
      </c>
      <c r="E62" s="15" t="b">
        <v>1</v>
      </c>
      <c r="F62" s="13" t="s">
        <v>46</v>
      </c>
      <c r="G62" s="13">
        <v>3.0</v>
      </c>
      <c r="H62" s="13" t="s">
        <v>39</v>
      </c>
    </row>
    <row r="63" ht="15.75" customHeight="1">
      <c r="A63" s="13" t="s">
        <v>45</v>
      </c>
      <c r="B63" s="13">
        <v>2.0</v>
      </c>
      <c r="C63" s="13" t="s">
        <v>10</v>
      </c>
      <c r="D63" s="13">
        <v>0.0</v>
      </c>
      <c r="E63" s="15" t="b">
        <v>1</v>
      </c>
      <c r="F63" s="13" t="s">
        <v>46</v>
      </c>
      <c r="G63" s="13">
        <v>3.0</v>
      </c>
      <c r="H63" s="13" t="s">
        <v>39</v>
      </c>
    </row>
    <row r="64" ht="15.75" customHeight="1">
      <c r="A64" s="13" t="s">
        <v>45</v>
      </c>
      <c r="B64" s="13">
        <v>2.0</v>
      </c>
      <c r="C64" s="13" t="s">
        <v>11</v>
      </c>
      <c r="D64" s="13">
        <v>0.0</v>
      </c>
      <c r="E64" s="15" t="b">
        <v>1</v>
      </c>
      <c r="F64" s="13" t="s">
        <v>46</v>
      </c>
      <c r="G64" s="13">
        <v>3.0</v>
      </c>
      <c r="H64" s="13" t="s">
        <v>39</v>
      </c>
    </row>
    <row r="65" ht="15.75" customHeight="1">
      <c r="A65" s="13" t="s">
        <v>45</v>
      </c>
      <c r="B65" s="13">
        <v>2.0</v>
      </c>
      <c r="C65" s="13" t="s">
        <v>12</v>
      </c>
      <c r="D65" s="13">
        <v>0.0</v>
      </c>
      <c r="E65" s="15" t="b">
        <v>1</v>
      </c>
      <c r="F65" s="13" t="s">
        <v>46</v>
      </c>
      <c r="G65" s="13">
        <v>3.0</v>
      </c>
      <c r="H65" s="13" t="s">
        <v>39</v>
      </c>
    </row>
    <row r="66" ht="15.75" customHeight="1">
      <c r="A66" s="13" t="s">
        <v>45</v>
      </c>
      <c r="B66" s="13">
        <v>3.0</v>
      </c>
      <c r="C66" s="13" t="s">
        <v>0</v>
      </c>
      <c r="D66" s="13">
        <v>-42.5</v>
      </c>
      <c r="E66" s="15" t="b">
        <v>1</v>
      </c>
      <c r="F66" s="13" t="s">
        <v>46</v>
      </c>
      <c r="G66" s="13">
        <v>4.0</v>
      </c>
      <c r="H66" s="13" t="s">
        <v>39</v>
      </c>
    </row>
    <row r="67" ht="15.75" customHeight="1">
      <c r="A67" s="13" t="s">
        <v>45</v>
      </c>
      <c r="B67" s="13">
        <v>3.0</v>
      </c>
      <c r="C67" s="13" t="s">
        <v>1</v>
      </c>
      <c r="D67" s="13">
        <v>-30.0</v>
      </c>
      <c r="E67" s="15" t="b">
        <v>1</v>
      </c>
      <c r="F67" s="13" t="s">
        <v>46</v>
      </c>
      <c r="G67" s="13">
        <v>4.0</v>
      </c>
      <c r="H67" s="13" t="s">
        <v>39</v>
      </c>
    </row>
    <row r="68" ht="15.75" customHeight="1">
      <c r="A68" s="13" t="s">
        <v>45</v>
      </c>
      <c r="B68" s="13">
        <v>3.0</v>
      </c>
      <c r="C68" s="13" t="s">
        <v>3</v>
      </c>
      <c r="D68" s="13">
        <v>0.0</v>
      </c>
      <c r="E68" s="15" t="b">
        <v>1</v>
      </c>
      <c r="F68" s="13" t="s">
        <v>46</v>
      </c>
      <c r="G68" s="13">
        <v>4.0</v>
      </c>
      <c r="H68" s="13" t="s">
        <v>39</v>
      </c>
    </row>
    <row r="69" ht="15.75" customHeight="1">
      <c r="A69" s="13" t="s">
        <v>45</v>
      </c>
      <c r="B69" s="13">
        <v>3.0</v>
      </c>
      <c r="C69" s="13" t="s">
        <v>6</v>
      </c>
      <c r="D69" s="13">
        <v>-155.0</v>
      </c>
      <c r="E69" s="15" t="b">
        <v>1</v>
      </c>
      <c r="F69" s="13" t="s">
        <v>46</v>
      </c>
      <c r="G69" s="13">
        <v>4.0</v>
      </c>
      <c r="H69" s="13" t="s">
        <v>39</v>
      </c>
    </row>
    <row r="70" ht="15.75" customHeight="1">
      <c r="A70" s="13" t="s">
        <v>45</v>
      </c>
      <c r="B70" s="13">
        <v>3.0</v>
      </c>
      <c r="C70" s="13" t="s">
        <v>10</v>
      </c>
      <c r="D70" s="13">
        <v>452.5</v>
      </c>
      <c r="E70" s="15" t="b">
        <v>1</v>
      </c>
      <c r="F70" s="13" t="s">
        <v>46</v>
      </c>
      <c r="G70" s="13">
        <v>4.0</v>
      </c>
      <c r="H70" s="13" t="s">
        <v>39</v>
      </c>
    </row>
    <row r="71" ht="15.75" customHeight="1">
      <c r="A71" s="13" t="s">
        <v>45</v>
      </c>
      <c r="B71" s="13">
        <v>3.0</v>
      </c>
      <c r="C71" s="13" t="s">
        <v>11</v>
      </c>
      <c r="D71" s="13">
        <v>25.0</v>
      </c>
      <c r="E71" s="15" t="b">
        <v>1</v>
      </c>
      <c r="F71" s="13" t="s">
        <v>46</v>
      </c>
      <c r="G71" s="13">
        <v>4.0</v>
      </c>
      <c r="H71" s="13" t="s">
        <v>39</v>
      </c>
    </row>
    <row r="72" ht="15.75" customHeight="1">
      <c r="A72" s="13" t="s">
        <v>45</v>
      </c>
      <c r="B72" s="13">
        <v>3.0</v>
      </c>
      <c r="C72" s="13" t="s">
        <v>12</v>
      </c>
      <c r="D72" s="13">
        <v>-250.0</v>
      </c>
      <c r="E72" s="15" t="b">
        <v>1</v>
      </c>
      <c r="F72" s="13" t="s">
        <v>46</v>
      </c>
      <c r="G72" s="13">
        <v>4.0</v>
      </c>
      <c r="H72" s="13" t="s">
        <v>39</v>
      </c>
    </row>
    <row r="73" ht="15.75" customHeight="1">
      <c r="A73" s="13" t="s">
        <v>45</v>
      </c>
      <c r="B73" s="13">
        <v>4.0</v>
      </c>
      <c r="C73" s="13" t="s">
        <v>0</v>
      </c>
      <c r="D73" s="13">
        <v>72.5</v>
      </c>
      <c r="E73" s="15" t="b">
        <v>1</v>
      </c>
      <c r="F73" s="13" t="s">
        <v>46</v>
      </c>
      <c r="G73" s="13">
        <v>5.0</v>
      </c>
      <c r="H73" s="13" t="s">
        <v>39</v>
      </c>
    </row>
    <row r="74" ht="15.75" customHeight="1">
      <c r="A74" s="13" t="s">
        <v>45</v>
      </c>
      <c r="B74" s="13">
        <v>4.0</v>
      </c>
      <c r="C74" s="13" t="s">
        <v>1</v>
      </c>
      <c r="D74" s="13">
        <v>0.0</v>
      </c>
      <c r="E74" s="15" t="b">
        <v>1</v>
      </c>
      <c r="F74" s="13" t="s">
        <v>46</v>
      </c>
      <c r="G74" s="13">
        <v>5.0</v>
      </c>
      <c r="H74" s="13" t="s">
        <v>39</v>
      </c>
    </row>
    <row r="75" ht="15.75" customHeight="1">
      <c r="A75" s="13" t="s">
        <v>45</v>
      </c>
      <c r="B75" s="13">
        <v>4.0</v>
      </c>
      <c r="C75" s="13" t="s">
        <v>3</v>
      </c>
      <c r="D75" s="13">
        <v>10.0</v>
      </c>
      <c r="E75" s="15" t="b">
        <v>1</v>
      </c>
      <c r="F75" s="13" t="s">
        <v>46</v>
      </c>
      <c r="G75" s="13">
        <v>5.0</v>
      </c>
      <c r="H75" s="13" t="s">
        <v>39</v>
      </c>
    </row>
    <row r="76" ht="15.75" customHeight="1">
      <c r="A76" s="13" t="s">
        <v>45</v>
      </c>
      <c r="B76" s="13">
        <v>4.0</v>
      </c>
      <c r="C76" s="13" t="s">
        <v>6</v>
      </c>
      <c r="D76" s="13">
        <v>-5.0</v>
      </c>
      <c r="E76" s="15" t="b">
        <v>1</v>
      </c>
      <c r="F76" s="13" t="s">
        <v>46</v>
      </c>
      <c r="G76" s="13">
        <v>5.0</v>
      </c>
      <c r="H76" s="13" t="s">
        <v>39</v>
      </c>
    </row>
    <row r="77" ht="15.75" customHeight="1">
      <c r="A77" s="13" t="s">
        <v>45</v>
      </c>
      <c r="B77" s="13">
        <v>4.0</v>
      </c>
      <c r="C77" s="13" t="s">
        <v>10</v>
      </c>
      <c r="D77" s="13">
        <v>180.0</v>
      </c>
      <c r="E77" s="15" t="b">
        <v>1</v>
      </c>
      <c r="F77" s="13" t="s">
        <v>46</v>
      </c>
      <c r="G77" s="13">
        <v>5.0</v>
      </c>
      <c r="H77" s="13" t="s">
        <v>39</v>
      </c>
    </row>
    <row r="78" ht="15.75" customHeight="1">
      <c r="A78" s="13" t="s">
        <v>45</v>
      </c>
      <c r="B78" s="13">
        <v>4.0</v>
      </c>
      <c r="C78" s="13" t="s">
        <v>11</v>
      </c>
      <c r="D78" s="13">
        <v>-7.5</v>
      </c>
      <c r="E78" s="15" t="b">
        <v>1</v>
      </c>
      <c r="F78" s="13" t="s">
        <v>46</v>
      </c>
      <c r="G78" s="13">
        <v>5.0</v>
      </c>
      <c r="H78" s="13" t="s">
        <v>39</v>
      </c>
    </row>
    <row r="79" ht="15.75" customHeight="1">
      <c r="A79" s="13" t="s">
        <v>45</v>
      </c>
      <c r="B79" s="13">
        <v>4.0</v>
      </c>
      <c r="C79" s="13" t="s">
        <v>12</v>
      </c>
      <c r="D79" s="13">
        <v>-250.0</v>
      </c>
      <c r="E79" s="15" t="b">
        <v>1</v>
      </c>
      <c r="F79" s="13" t="s">
        <v>46</v>
      </c>
      <c r="G79" s="13">
        <v>5.0</v>
      </c>
      <c r="H79" s="13" t="s">
        <v>39</v>
      </c>
    </row>
    <row r="80" ht="15.75" customHeight="1">
      <c r="A80" s="13" t="s">
        <v>45</v>
      </c>
      <c r="B80" s="13">
        <v>5.0</v>
      </c>
      <c r="C80" s="13" t="s">
        <v>0</v>
      </c>
      <c r="D80" s="13">
        <v>0.0</v>
      </c>
      <c r="E80" s="15" t="b">
        <v>1</v>
      </c>
      <c r="F80" s="13" t="s">
        <v>46</v>
      </c>
      <c r="G80" s="13">
        <v>6.0</v>
      </c>
      <c r="H80" s="13" t="s">
        <v>39</v>
      </c>
    </row>
    <row r="81" ht="15.75" customHeight="1">
      <c r="A81" s="13" t="s">
        <v>45</v>
      </c>
      <c r="B81" s="13">
        <v>5.0</v>
      </c>
      <c r="C81" s="13" t="s">
        <v>1</v>
      </c>
      <c r="D81" s="13">
        <v>-250.0</v>
      </c>
      <c r="E81" s="15" t="b">
        <v>1</v>
      </c>
      <c r="F81" s="13" t="s">
        <v>46</v>
      </c>
      <c r="G81" s="13">
        <v>6.0</v>
      </c>
      <c r="H81" s="13" t="s">
        <v>39</v>
      </c>
    </row>
    <row r="82" ht="15.75" customHeight="1">
      <c r="A82" s="13" t="s">
        <v>45</v>
      </c>
      <c r="B82" s="13">
        <v>5.0</v>
      </c>
      <c r="C82" s="13" t="s">
        <v>3</v>
      </c>
      <c r="D82" s="13">
        <v>0.0</v>
      </c>
      <c r="E82" s="15" t="b">
        <v>1</v>
      </c>
      <c r="F82" s="13" t="s">
        <v>46</v>
      </c>
      <c r="G82" s="13">
        <v>6.0</v>
      </c>
      <c r="H82" s="13" t="s">
        <v>39</v>
      </c>
    </row>
    <row r="83" ht="15.75" customHeight="1">
      <c r="A83" s="13" t="s">
        <v>45</v>
      </c>
      <c r="B83" s="13">
        <v>5.0</v>
      </c>
      <c r="C83" s="13" t="s">
        <v>6</v>
      </c>
      <c r="D83" s="13">
        <v>0.0</v>
      </c>
      <c r="E83" s="15" t="b">
        <v>1</v>
      </c>
      <c r="F83" s="13" t="s">
        <v>46</v>
      </c>
      <c r="G83" s="13">
        <v>6.0</v>
      </c>
      <c r="H83" s="13" t="s">
        <v>39</v>
      </c>
    </row>
    <row r="84" ht="15.75" customHeight="1">
      <c r="A84" s="13" t="s">
        <v>45</v>
      </c>
      <c r="B84" s="13">
        <v>5.0</v>
      </c>
      <c r="C84" s="13" t="s">
        <v>10</v>
      </c>
      <c r="D84" s="13">
        <v>250.0</v>
      </c>
      <c r="E84" s="15" t="b">
        <v>1</v>
      </c>
      <c r="F84" s="13" t="s">
        <v>46</v>
      </c>
      <c r="G84" s="13">
        <v>6.0</v>
      </c>
      <c r="H84" s="13" t="s">
        <v>39</v>
      </c>
    </row>
    <row r="85" ht="15.75" customHeight="1">
      <c r="A85" s="13" t="s">
        <v>45</v>
      </c>
      <c r="B85" s="13">
        <v>5.0</v>
      </c>
      <c r="C85" s="13" t="s">
        <v>11</v>
      </c>
      <c r="D85" s="13">
        <v>0.0</v>
      </c>
      <c r="E85" s="15" t="b">
        <v>1</v>
      </c>
      <c r="F85" s="13" t="s">
        <v>46</v>
      </c>
      <c r="G85" s="13">
        <v>6.0</v>
      </c>
      <c r="H85" s="13" t="s">
        <v>39</v>
      </c>
    </row>
    <row r="86" ht="15.75" customHeight="1">
      <c r="A86" s="13" t="s">
        <v>45</v>
      </c>
      <c r="B86" s="13">
        <v>5.0</v>
      </c>
      <c r="C86" s="13" t="s">
        <v>12</v>
      </c>
      <c r="D86" s="13">
        <v>0.0</v>
      </c>
      <c r="E86" s="15" t="b">
        <v>1</v>
      </c>
      <c r="F86" s="13" t="s">
        <v>46</v>
      </c>
      <c r="G86" s="13">
        <v>6.0</v>
      </c>
      <c r="H86" s="13" t="s">
        <v>39</v>
      </c>
    </row>
    <row r="87" ht="15.75" customHeight="1">
      <c r="A87" s="13" t="s">
        <v>45</v>
      </c>
      <c r="B87" s="13">
        <v>6.0</v>
      </c>
      <c r="C87" s="13" t="s">
        <v>0</v>
      </c>
      <c r="D87" s="13">
        <v>62.5</v>
      </c>
      <c r="E87" s="15" t="b">
        <v>1</v>
      </c>
      <c r="F87" s="13" t="s">
        <v>46</v>
      </c>
      <c r="G87" s="13">
        <v>7.0</v>
      </c>
      <c r="H87" s="13" t="s">
        <v>39</v>
      </c>
    </row>
    <row r="88" ht="15.75" customHeight="1">
      <c r="A88" s="13" t="s">
        <v>45</v>
      </c>
      <c r="B88" s="13">
        <v>6.0</v>
      </c>
      <c r="C88" s="13" t="s">
        <v>1</v>
      </c>
      <c r="D88" s="13">
        <v>-77.5</v>
      </c>
      <c r="E88" s="15" t="b">
        <v>1</v>
      </c>
      <c r="F88" s="13" t="s">
        <v>46</v>
      </c>
      <c r="G88" s="13">
        <v>7.0</v>
      </c>
      <c r="H88" s="13" t="s">
        <v>39</v>
      </c>
    </row>
    <row r="89" ht="15.75" customHeight="1">
      <c r="A89" s="13" t="s">
        <v>45</v>
      </c>
      <c r="B89" s="13">
        <v>6.0</v>
      </c>
      <c r="C89" s="13" t="s">
        <v>3</v>
      </c>
      <c r="D89" s="13">
        <v>100.0</v>
      </c>
      <c r="E89" s="15" t="b">
        <v>1</v>
      </c>
      <c r="F89" s="13" t="s">
        <v>46</v>
      </c>
      <c r="G89" s="13">
        <v>7.0</v>
      </c>
      <c r="H89" s="13" t="s">
        <v>39</v>
      </c>
    </row>
    <row r="90" ht="15.75" customHeight="1">
      <c r="A90" s="13" t="s">
        <v>45</v>
      </c>
      <c r="B90" s="13">
        <v>6.0</v>
      </c>
      <c r="C90" s="13" t="s">
        <v>6</v>
      </c>
      <c r="D90" s="13">
        <v>5.0</v>
      </c>
      <c r="E90" s="15" t="b">
        <v>1</v>
      </c>
      <c r="F90" s="13" t="s">
        <v>46</v>
      </c>
      <c r="G90" s="13">
        <v>7.0</v>
      </c>
      <c r="H90" s="13" t="s">
        <v>39</v>
      </c>
    </row>
    <row r="91" ht="15.75" customHeight="1">
      <c r="A91" s="13" t="s">
        <v>45</v>
      </c>
      <c r="B91" s="13">
        <v>6.0</v>
      </c>
      <c r="C91" s="13" t="s">
        <v>10</v>
      </c>
      <c r="D91" s="13">
        <v>30.0</v>
      </c>
      <c r="E91" s="15" t="b">
        <v>1</v>
      </c>
      <c r="F91" s="13" t="s">
        <v>46</v>
      </c>
      <c r="G91" s="13">
        <v>7.0</v>
      </c>
      <c r="H91" s="13" t="s">
        <v>39</v>
      </c>
    </row>
    <row r="92" ht="15.75" customHeight="1">
      <c r="A92" s="13" t="s">
        <v>45</v>
      </c>
      <c r="B92" s="13">
        <v>6.0</v>
      </c>
      <c r="C92" s="13" t="s">
        <v>11</v>
      </c>
      <c r="D92" s="13">
        <v>130.0</v>
      </c>
      <c r="E92" s="15" t="b">
        <v>1</v>
      </c>
      <c r="F92" s="13" t="s">
        <v>46</v>
      </c>
      <c r="G92" s="13">
        <v>7.0</v>
      </c>
      <c r="H92" s="13" t="s">
        <v>39</v>
      </c>
    </row>
    <row r="93" ht="15.75" customHeight="1">
      <c r="A93" s="13" t="s">
        <v>45</v>
      </c>
      <c r="B93" s="13">
        <v>6.0</v>
      </c>
      <c r="C93" s="13" t="s">
        <v>12</v>
      </c>
      <c r="D93" s="13">
        <v>-250.0</v>
      </c>
      <c r="E93" s="15" t="b">
        <v>1</v>
      </c>
      <c r="F93" s="13" t="s">
        <v>46</v>
      </c>
      <c r="G93" s="13">
        <v>7.0</v>
      </c>
      <c r="H93" s="13" t="s">
        <v>39</v>
      </c>
    </row>
    <row r="94" ht="15.75" customHeight="1">
      <c r="A94" s="13" t="s">
        <v>45</v>
      </c>
      <c r="B94" s="13">
        <v>7.0</v>
      </c>
      <c r="C94" s="13" t="s">
        <v>0</v>
      </c>
      <c r="D94" s="13">
        <v>-140.0</v>
      </c>
      <c r="E94" s="15" t="b">
        <v>1</v>
      </c>
      <c r="F94" s="13" t="s">
        <v>46</v>
      </c>
      <c r="G94" s="13">
        <v>8.0</v>
      </c>
      <c r="H94" s="13" t="s">
        <v>39</v>
      </c>
    </row>
    <row r="95" ht="15.75" customHeight="1">
      <c r="A95" s="13" t="s">
        <v>45</v>
      </c>
      <c r="B95" s="13">
        <v>7.0</v>
      </c>
      <c r="C95" s="13" t="s">
        <v>1</v>
      </c>
      <c r="D95" s="13">
        <v>385.0</v>
      </c>
      <c r="E95" s="15" t="b">
        <v>1</v>
      </c>
      <c r="F95" s="13" t="s">
        <v>46</v>
      </c>
      <c r="G95" s="13">
        <v>8.0</v>
      </c>
      <c r="H95" s="13" t="s">
        <v>39</v>
      </c>
    </row>
    <row r="96" ht="15.75" customHeight="1">
      <c r="A96" s="13" t="s">
        <v>45</v>
      </c>
      <c r="B96" s="13">
        <v>7.0</v>
      </c>
      <c r="C96" s="13" t="s">
        <v>3</v>
      </c>
      <c r="D96" s="13">
        <v>50.0</v>
      </c>
      <c r="E96" s="15" t="b">
        <v>1</v>
      </c>
      <c r="F96" s="13" t="s">
        <v>46</v>
      </c>
      <c r="G96" s="13">
        <v>8.0</v>
      </c>
      <c r="H96" s="13" t="s">
        <v>39</v>
      </c>
    </row>
    <row r="97" ht="15.75" customHeight="1">
      <c r="A97" s="13" t="s">
        <v>45</v>
      </c>
      <c r="B97" s="13">
        <v>7.0</v>
      </c>
      <c r="C97" s="13" t="s">
        <v>6</v>
      </c>
      <c r="D97" s="13">
        <v>0.0</v>
      </c>
      <c r="E97" s="15" t="b">
        <v>1</v>
      </c>
      <c r="F97" s="13" t="s">
        <v>46</v>
      </c>
      <c r="G97" s="13">
        <v>8.0</v>
      </c>
      <c r="H97" s="13" t="s">
        <v>39</v>
      </c>
    </row>
    <row r="98" ht="15.75" customHeight="1">
      <c r="A98" s="13" t="s">
        <v>45</v>
      </c>
      <c r="B98" s="13">
        <v>7.0</v>
      </c>
      <c r="C98" s="13" t="s">
        <v>10</v>
      </c>
      <c r="D98" s="13">
        <v>110.0</v>
      </c>
      <c r="E98" s="15" t="b">
        <v>1</v>
      </c>
      <c r="F98" s="13" t="s">
        <v>46</v>
      </c>
      <c r="G98" s="13">
        <v>8.0</v>
      </c>
      <c r="H98" s="13" t="s">
        <v>39</v>
      </c>
    </row>
    <row r="99" ht="15.75" customHeight="1">
      <c r="A99" s="13" t="s">
        <v>45</v>
      </c>
      <c r="B99" s="13">
        <v>7.0</v>
      </c>
      <c r="C99" s="13" t="s">
        <v>11</v>
      </c>
      <c r="D99" s="13">
        <v>-155.0</v>
      </c>
      <c r="E99" s="15" t="b">
        <v>1</v>
      </c>
      <c r="F99" s="13" t="s">
        <v>46</v>
      </c>
      <c r="G99" s="13">
        <v>8.0</v>
      </c>
      <c r="H99" s="13" t="s">
        <v>39</v>
      </c>
    </row>
    <row r="100" ht="15.75" customHeight="1">
      <c r="A100" s="13" t="s">
        <v>45</v>
      </c>
      <c r="B100" s="13">
        <v>7.0</v>
      </c>
      <c r="C100" s="13" t="s">
        <v>12</v>
      </c>
      <c r="D100" s="13">
        <v>-250.0</v>
      </c>
      <c r="E100" s="15" t="b">
        <v>1</v>
      </c>
      <c r="F100" s="13" t="s">
        <v>46</v>
      </c>
      <c r="G100" s="13">
        <v>8.0</v>
      </c>
      <c r="H100" s="13" t="s">
        <v>39</v>
      </c>
    </row>
    <row r="101" ht="15.75" customHeight="1">
      <c r="A101" s="13" t="s">
        <v>45</v>
      </c>
      <c r="B101" s="13">
        <v>8.0</v>
      </c>
      <c r="C101" s="13" t="s">
        <v>0</v>
      </c>
      <c r="D101" s="13">
        <v>-47.5</v>
      </c>
      <c r="E101" s="15" t="b">
        <v>1</v>
      </c>
      <c r="F101" s="13" t="s">
        <v>46</v>
      </c>
      <c r="G101" s="13">
        <v>9.0</v>
      </c>
      <c r="H101" s="13" t="s">
        <v>39</v>
      </c>
    </row>
    <row r="102" ht="15.75" customHeight="1">
      <c r="A102" s="13" t="s">
        <v>45</v>
      </c>
      <c r="B102" s="13">
        <v>8.0</v>
      </c>
      <c r="C102" s="13" t="s">
        <v>1</v>
      </c>
      <c r="D102" s="13">
        <v>-67.5</v>
      </c>
      <c r="E102" s="15" t="b">
        <v>1</v>
      </c>
      <c r="F102" s="13" t="s">
        <v>46</v>
      </c>
      <c r="G102" s="13">
        <v>9.0</v>
      </c>
      <c r="H102" s="13" t="s">
        <v>39</v>
      </c>
    </row>
    <row r="103" ht="15.75" customHeight="1">
      <c r="A103" s="13" t="s">
        <v>45</v>
      </c>
      <c r="B103" s="13">
        <v>8.0</v>
      </c>
      <c r="C103" s="13" t="s">
        <v>3</v>
      </c>
      <c r="D103" s="13">
        <v>-250.0</v>
      </c>
      <c r="E103" s="15" t="b">
        <v>1</v>
      </c>
      <c r="F103" s="13" t="s">
        <v>46</v>
      </c>
      <c r="G103" s="13">
        <v>9.0</v>
      </c>
      <c r="H103" s="13" t="s">
        <v>39</v>
      </c>
    </row>
    <row r="104" ht="15.75" customHeight="1">
      <c r="A104" s="13" t="s">
        <v>45</v>
      </c>
      <c r="B104" s="13">
        <v>8.0</v>
      </c>
      <c r="C104" s="13" t="s">
        <v>6</v>
      </c>
      <c r="D104" s="13">
        <v>-102.5</v>
      </c>
      <c r="E104" s="15" t="b">
        <v>1</v>
      </c>
      <c r="F104" s="13" t="s">
        <v>46</v>
      </c>
      <c r="G104" s="13">
        <v>9.0</v>
      </c>
      <c r="H104" s="13" t="s">
        <v>39</v>
      </c>
    </row>
    <row r="105" ht="15.75" customHeight="1">
      <c r="A105" s="13" t="s">
        <v>45</v>
      </c>
      <c r="B105" s="13">
        <v>8.0</v>
      </c>
      <c r="C105" s="13" t="s">
        <v>10</v>
      </c>
      <c r="D105" s="13">
        <v>377.5</v>
      </c>
      <c r="E105" s="15" t="b">
        <v>1</v>
      </c>
      <c r="F105" s="13" t="s">
        <v>46</v>
      </c>
      <c r="G105" s="13">
        <v>9.0</v>
      </c>
      <c r="H105" s="13" t="s">
        <v>39</v>
      </c>
    </row>
    <row r="106" ht="15.75" customHeight="1">
      <c r="A106" s="13" t="s">
        <v>45</v>
      </c>
      <c r="B106" s="13">
        <v>8.0</v>
      </c>
      <c r="C106" s="13" t="s">
        <v>11</v>
      </c>
      <c r="D106" s="13">
        <v>-10.0</v>
      </c>
      <c r="E106" s="15" t="b">
        <v>1</v>
      </c>
      <c r="F106" s="13" t="s">
        <v>46</v>
      </c>
      <c r="G106" s="13">
        <v>9.0</v>
      </c>
      <c r="H106" s="13" t="s">
        <v>39</v>
      </c>
    </row>
    <row r="107" ht="15.75" customHeight="1">
      <c r="A107" s="13" t="s">
        <v>45</v>
      </c>
      <c r="B107" s="13">
        <v>8.0</v>
      </c>
      <c r="C107" s="13" t="s">
        <v>12</v>
      </c>
      <c r="D107" s="13">
        <v>100.0</v>
      </c>
      <c r="E107" s="15" t="b">
        <v>1</v>
      </c>
      <c r="F107" s="13" t="s">
        <v>46</v>
      </c>
      <c r="G107" s="13">
        <v>9.0</v>
      </c>
      <c r="H107" s="13" t="s">
        <v>39</v>
      </c>
    </row>
    <row r="108" ht="15.75" customHeight="1">
      <c r="A108" s="13" t="s">
        <v>45</v>
      </c>
      <c r="B108" s="13">
        <v>9.0</v>
      </c>
      <c r="C108" s="13" t="s">
        <v>0</v>
      </c>
      <c r="D108" s="13">
        <v>-250.0</v>
      </c>
      <c r="E108" s="15" t="b">
        <v>1</v>
      </c>
      <c r="F108" s="13" t="s">
        <v>46</v>
      </c>
      <c r="G108" s="13">
        <v>10.0</v>
      </c>
      <c r="H108" s="13" t="s">
        <v>39</v>
      </c>
    </row>
    <row r="109" ht="15.75" customHeight="1">
      <c r="A109" s="13" t="s">
        <v>45</v>
      </c>
      <c r="B109" s="13">
        <v>9.0</v>
      </c>
      <c r="C109" s="13" t="s">
        <v>1</v>
      </c>
      <c r="D109" s="13">
        <v>-37.5</v>
      </c>
      <c r="E109" s="15" t="b">
        <v>1</v>
      </c>
      <c r="F109" s="13" t="s">
        <v>46</v>
      </c>
      <c r="G109" s="13">
        <v>10.0</v>
      </c>
      <c r="H109" s="13" t="s">
        <v>39</v>
      </c>
    </row>
    <row r="110" ht="15.75" customHeight="1">
      <c r="A110" s="13" t="s">
        <v>45</v>
      </c>
      <c r="B110" s="13">
        <v>9.0</v>
      </c>
      <c r="C110" s="13" t="s">
        <v>3</v>
      </c>
      <c r="D110" s="13">
        <v>-25.0</v>
      </c>
      <c r="E110" s="15" t="b">
        <v>1</v>
      </c>
      <c r="F110" s="13" t="s">
        <v>46</v>
      </c>
      <c r="G110" s="13">
        <v>10.0</v>
      </c>
      <c r="H110" s="13" t="s">
        <v>39</v>
      </c>
    </row>
    <row r="111" ht="15.75" customHeight="1">
      <c r="A111" s="13" t="s">
        <v>45</v>
      </c>
      <c r="B111" s="13">
        <v>9.0</v>
      </c>
      <c r="C111" s="13" t="s">
        <v>6</v>
      </c>
      <c r="D111" s="13">
        <v>-42.5</v>
      </c>
      <c r="E111" s="15" t="b">
        <v>1</v>
      </c>
      <c r="F111" s="13" t="s">
        <v>46</v>
      </c>
      <c r="G111" s="13">
        <v>10.0</v>
      </c>
      <c r="H111" s="13" t="s">
        <v>39</v>
      </c>
    </row>
    <row r="112" ht="15.75" customHeight="1">
      <c r="A112" s="13" t="s">
        <v>45</v>
      </c>
      <c r="B112" s="13">
        <v>9.0</v>
      </c>
      <c r="C112" s="13" t="s">
        <v>10</v>
      </c>
      <c r="D112" s="13">
        <v>265.0</v>
      </c>
      <c r="E112" s="15" t="b">
        <v>1</v>
      </c>
      <c r="F112" s="13" t="s">
        <v>46</v>
      </c>
      <c r="G112" s="13">
        <v>10.0</v>
      </c>
      <c r="H112" s="13" t="s">
        <v>39</v>
      </c>
    </row>
    <row r="113" ht="15.75" customHeight="1">
      <c r="A113" s="13" t="s">
        <v>45</v>
      </c>
      <c r="B113" s="13">
        <v>9.0</v>
      </c>
      <c r="C113" s="13" t="s">
        <v>11</v>
      </c>
      <c r="D113" s="13">
        <v>-85.0</v>
      </c>
      <c r="E113" s="15" t="b">
        <v>1</v>
      </c>
      <c r="F113" s="13" t="s">
        <v>46</v>
      </c>
      <c r="G113" s="13">
        <v>10.0</v>
      </c>
      <c r="H113" s="13" t="s">
        <v>39</v>
      </c>
    </row>
    <row r="114" ht="15.75" customHeight="1">
      <c r="A114" s="13" t="s">
        <v>45</v>
      </c>
      <c r="B114" s="13">
        <v>9.0</v>
      </c>
      <c r="C114" s="13" t="s">
        <v>12</v>
      </c>
      <c r="D114" s="13">
        <v>175.0</v>
      </c>
      <c r="E114" s="15" t="b">
        <v>1</v>
      </c>
      <c r="F114" s="13" t="s">
        <v>46</v>
      </c>
      <c r="G114" s="13">
        <v>10.0</v>
      </c>
      <c r="H114" s="13" t="s">
        <v>39</v>
      </c>
    </row>
    <row r="115" ht="15.75" customHeight="1">
      <c r="A115" s="13" t="s">
        <v>45</v>
      </c>
      <c r="B115" s="13">
        <v>10.0</v>
      </c>
      <c r="C115" s="13" t="s">
        <v>0</v>
      </c>
      <c r="D115" s="13">
        <v>137.0</v>
      </c>
      <c r="E115" s="15" t="b">
        <v>1</v>
      </c>
      <c r="F115" s="13" t="s">
        <v>46</v>
      </c>
      <c r="G115" s="13">
        <v>11.0</v>
      </c>
      <c r="H115" s="13" t="s">
        <v>41</v>
      </c>
    </row>
    <row r="116" ht="15.75" customHeight="1">
      <c r="A116" s="13" t="s">
        <v>45</v>
      </c>
      <c r="B116" s="13">
        <v>10.0</v>
      </c>
      <c r="C116" s="13" t="s">
        <v>1</v>
      </c>
      <c r="D116" s="13">
        <v>-22.5</v>
      </c>
      <c r="E116" s="15" t="b">
        <v>1</v>
      </c>
      <c r="F116" s="13" t="s">
        <v>46</v>
      </c>
      <c r="G116" s="13">
        <v>11.0</v>
      </c>
      <c r="H116" s="13" t="s">
        <v>41</v>
      </c>
    </row>
    <row r="117" ht="15.75" customHeight="1">
      <c r="A117" s="13" t="s">
        <v>45</v>
      </c>
      <c r="B117" s="13">
        <v>10.0</v>
      </c>
      <c r="C117" s="13" t="s">
        <v>3</v>
      </c>
      <c r="D117" s="13">
        <v>80.0</v>
      </c>
      <c r="E117" s="15" t="b">
        <v>1</v>
      </c>
      <c r="F117" s="13" t="s">
        <v>46</v>
      </c>
      <c r="G117" s="13">
        <v>11.0</v>
      </c>
      <c r="H117" s="13" t="s">
        <v>41</v>
      </c>
    </row>
    <row r="118" ht="15.75" customHeight="1">
      <c r="A118" s="13" t="s">
        <v>45</v>
      </c>
      <c r="B118" s="13">
        <v>10.0</v>
      </c>
      <c r="C118" s="13" t="s">
        <v>6</v>
      </c>
      <c r="D118" s="13">
        <v>-65.0</v>
      </c>
      <c r="E118" s="15" t="b">
        <v>1</v>
      </c>
      <c r="F118" s="13" t="s">
        <v>46</v>
      </c>
      <c r="G118" s="13">
        <v>11.0</v>
      </c>
      <c r="H118" s="13" t="s">
        <v>41</v>
      </c>
    </row>
    <row r="119" ht="15.75" customHeight="1">
      <c r="A119" s="13" t="s">
        <v>45</v>
      </c>
      <c r="B119" s="13">
        <v>10.0</v>
      </c>
      <c r="C119" s="13" t="s">
        <v>10</v>
      </c>
      <c r="D119" s="13">
        <v>-250.0</v>
      </c>
      <c r="E119" s="15" t="b">
        <v>1</v>
      </c>
      <c r="F119" s="13" t="s">
        <v>46</v>
      </c>
      <c r="G119" s="13">
        <v>11.0</v>
      </c>
      <c r="H119" s="13" t="s">
        <v>41</v>
      </c>
    </row>
    <row r="120" ht="15.75" customHeight="1">
      <c r="A120" s="13" t="s">
        <v>45</v>
      </c>
      <c r="B120" s="13">
        <v>10.0</v>
      </c>
      <c r="C120" s="13" t="s">
        <v>11</v>
      </c>
      <c r="D120" s="13">
        <v>117.5</v>
      </c>
      <c r="E120" s="15" t="b">
        <v>1</v>
      </c>
      <c r="F120" s="13" t="s">
        <v>46</v>
      </c>
      <c r="G120" s="13">
        <v>11.0</v>
      </c>
      <c r="H120" s="13" t="s">
        <v>41</v>
      </c>
    </row>
    <row r="121" ht="15.75" customHeight="1">
      <c r="A121" s="13" t="s">
        <v>45</v>
      </c>
      <c r="B121" s="13">
        <v>10.0</v>
      </c>
      <c r="C121" s="13" t="s">
        <v>12</v>
      </c>
      <c r="D121" s="13">
        <v>2.5</v>
      </c>
      <c r="E121" s="15" t="b">
        <v>1</v>
      </c>
      <c r="F121" s="13" t="s">
        <v>46</v>
      </c>
      <c r="G121" s="13">
        <v>11.0</v>
      </c>
      <c r="H121" s="13" t="s">
        <v>41</v>
      </c>
    </row>
    <row r="122" ht="15.75" customHeight="1">
      <c r="A122" s="13" t="s">
        <v>45</v>
      </c>
      <c r="B122" s="13">
        <v>11.0</v>
      </c>
      <c r="C122" s="13" t="s">
        <v>0</v>
      </c>
      <c r="D122" s="13">
        <v>270.0</v>
      </c>
      <c r="E122" s="15" t="b">
        <v>1</v>
      </c>
      <c r="F122" s="13" t="s">
        <v>46</v>
      </c>
      <c r="G122" s="13">
        <v>12.0</v>
      </c>
      <c r="H122" s="13" t="s">
        <v>39</v>
      </c>
    </row>
    <row r="123" ht="15.75" customHeight="1">
      <c r="A123" s="13" t="s">
        <v>45</v>
      </c>
      <c r="B123" s="13">
        <v>11.0</v>
      </c>
      <c r="C123" s="13" t="s">
        <v>1</v>
      </c>
      <c r="D123" s="13">
        <v>-70.0</v>
      </c>
      <c r="E123" s="15" t="b">
        <v>1</v>
      </c>
      <c r="F123" s="13" t="s">
        <v>46</v>
      </c>
      <c r="G123" s="13">
        <v>12.0</v>
      </c>
      <c r="H123" s="13" t="s">
        <v>39</v>
      </c>
    </row>
    <row r="124" ht="15.75" customHeight="1">
      <c r="A124" s="13" t="s">
        <v>45</v>
      </c>
      <c r="B124" s="13">
        <v>11.0</v>
      </c>
      <c r="C124" s="13" t="s">
        <v>3</v>
      </c>
      <c r="D124" s="13">
        <v>-60.0</v>
      </c>
      <c r="E124" s="15" t="b">
        <v>1</v>
      </c>
      <c r="F124" s="13" t="s">
        <v>46</v>
      </c>
      <c r="G124" s="13">
        <v>12.0</v>
      </c>
      <c r="H124" s="13" t="s">
        <v>39</v>
      </c>
    </row>
    <row r="125" ht="15.75" customHeight="1">
      <c r="A125" s="13" t="s">
        <v>45</v>
      </c>
      <c r="B125" s="13">
        <v>11.0</v>
      </c>
      <c r="C125" s="13" t="s">
        <v>6</v>
      </c>
      <c r="D125" s="13">
        <v>-70.0</v>
      </c>
      <c r="E125" s="15" t="b">
        <v>1</v>
      </c>
      <c r="F125" s="13" t="s">
        <v>46</v>
      </c>
      <c r="G125" s="13">
        <v>12.0</v>
      </c>
      <c r="H125" s="13" t="s">
        <v>39</v>
      </c>
    </row>
    <row r="126" ht="15.75" customHeight="1">
      <c r="A126" s="13" t="s">
        <v>45</v>
      </c>
      <c r="B126" s="13">
        <v>11.0</v>
      </c>
      <c r="C126" s="13" t="s">
        <v>10</v>
      </c>
      <c r="D126" s="13">
        <v>-70.0</v>
      </c>
      <c r="E126" s="15" t="b">
        <v>1</v>
      </c>
      <c r="F126" s="13" t="s">
        <v>46</v>
      </c>
      <c r="G126" s="13">
        <v>12.0</v>
      </c>
      <c r="H126" s="13" t="s">
        <v>39</v>
      </c>
    </row>
    <row r="127" ht="15.75" customHeight="1">
      <c r="A127" s="13" t="s">
        <v>45</v>
      </c>
      <c r="B127" s="13">
        <v>11.0</v>
      </c>
      <c r="C127" s="13" t="s">
        <v>11</v>
      </c>
      <c r="D127" s="13">
        <v>0.0</v>
      </c>
      <c r="E127" s="15" t="b">
        <v>1</v>
      </c>
      <c r="F127" s="13" t="s">
        <v>46</v>
      </c>
      <c r="G127" s="13">
        <v>12.0</v>
      </c>
      <c r="H127" s="13" t="s">
        <v>39</v>
      </c>
    </row>
    <row r="128" ht="15.75" customHeight="1">
      <c r="A128" s="13" t="s">
        <v>45</v>
      </c>
      <c r="B128" s="13">
        <v>11.0</v>
      </c>
      <c r="C128" s="13" t="s">
        <v>12</v>
      </c>
      <c r="D128" s="13">
        <v>0.0</v>
      </c>
      <c r="E128" s="15" t="b">
        <v>1</v>
      </c>
      <c r="F128" s="13" t="s">
        <v>46</v>
      </c>
      <c r="G128" s="13">
        <v>12.0</v>
      </c>
      <c r="H128" s="13" t="s">
        <v>39</v>
      </c>
    </row>
    <row r="129" ht="15.75" customHeight="1">
      <c r="A129" s="13" t="s">
        <v>45</v>
      </c>
      <c r="B129" s="13">
        <v>12.0</v>
      </c>
      <c r="C129" s="13" t="s">
        <v>0</v>
      </c>
      <c r="D129" s="13">
        <v>50.0</v>
      </c>
      <c r="E129" s="15" t="b">
        <v>1</v>
      </c>
      <c r="F129" s="13" t="s">
        <v>46</v>
      </c>
      <c r="G129" s="13">
        <v>13.0</v>
      </c>
      <c r="H129" s="13" t="s">
        <v>39</v>
      </c>
    </row>
    <row r="130" ht="15.75" customHeight="1">
      <c r="A130" s="13" t="s">
        <v>45</v>
      </c>
      <c r="B130" s="13">
        <v>12.0</v>
      </c>
      <c r="C130" s="13" t="s">
        <v>1</v>
      </c>
      <c r="D130" s="13">
        <v>160.0</v>
      </c>
      <c r="E130" s="15" t="b">
        <v>1</v>
      </c>
      <c r="F130" s="13" t="s">
        <v>46</v>
      </c>
      <c r="G130" s="13">
        <v>13.0</v>
      </c>
      <c r="H130" s="13" t="s">
        <v>39</v>
      </c>
    </row>
    <row r="131" ht="15.75" customHeight="1">
      <c r="A131" s="13" t="s">
        <v>45</v>
      </c>
      <c r="B131" s="13">
        <v>12.0</v>
      </c>
      <c r="C131" s="13" t="s">
        <v>3</v>
      </c>
      <c r="D131" s="13">
        <v>-35.0</v>
      </c>
      <c r="E131" s="15" t="b">
        <v>1</v>
      </c>
      <c r="F131" s="13" t="s">
        <v>46</v>
      </c>
      <c r="G131" s="13">
        <v>13.0</v>
      </c>
      <c r="H131" s="13" t="s">
        <v>39</v>
      </c>
    </row>
    <row r="132" ht="15.75" customHeight="1">
      <c r="A132" s="13" t="s">
        <v>45</v>
      </c>
      <c r="B132" s="13">
        <v>12.0</v>
      </c>
      <c r="C132" s="13" t="s">
        <v>6</v>
      </c>
      <c r="D132" s="13">
        <v>72.5</v>
      </c>
      <c r="E132" s="15" t="b">
        <v>1</v>
      </c>
      <c r="F132" s="13" t="s">
        <v>46</v>
      </c>
      <c r="G132" s="13">
        <v>13.0</v>
      </c>
      <c r="H132" s="13" t="s">
        <v>39</v>
      </c>
    </row>
    <row r="133" ht="15.75" customHeight="1">
      <c r="A133" s="13" t="s">
        <v>45</v>
      </c>
      <c r="B133" s="13">
        <v>12.0</v>
      </c>
      <c r="C133" s="13" t="s">
        <v>10</v>
      </c>
      <c r="D133" s="13">
        <v>-122.5</v>
      </c>
      <c r="E133" s="15" t="b">
        <v>1</v>
      </c>
      <c r="F133" s="13" t="s">
        <v>46</v>
      </c>
      <c r="G133" s="13">
        <v>13.0</v>
      </c>
      <c r="H133" s="13" t="s">
        <v>39</v>
      </c>
    </row>
    <row r="134" ht="15.75" customHeight="1">
      <c r="A134" s="13" t="s">
        <v>45</v>
      </c>
      <c r="B134" s="13">
        <v>12.0</v>
      </c>
      <c r="C134" s="13" t="s">
        <v>11</v>
      </c>
      <c r="D134" s="13">
        <v>125.0</v>
      </c>
      <c r="E134" s="15" t="b">
        <v>1</v>
      </c>
      <c r="F134" s="13" t="s">
        <v>46</v>
      </c>
      <c r="G134" s="13">
        <v>13.0</v>
      </c>
      <c r="H134" s="13" t="s">
        <v>39</v>
      </c>
    </row>
    <row r="135" ht="15.75" customHeight="1">
      <c r="A135" s="13" t="s">
        <v>45</v>
      </c>
      <c r="B135" s="13">
        <v>12.0</v>
      </c>
      <c r="C135" s="13" t="s">
        <v>12</v>
      </c>
      <c r="D135" s="13">
        <v>-250.0</v>
      </c>
      <c r="E135" s="15" t="b">
        <v>1</v>
      </c>
      <c r="F135" s="13" t="s">
        <v>46</v>
      </c>
      <c r="G135" s="13">
        <v>13.0</v>
      </c>
      <c r="H135" s="13" t="s">
        <v>39</v>
      </c>
    </row>
    <row r="136" ht="15.75" customHeight="1">
      <c r="A136" s="13" t="s">
        <v>45</v>
      </c>
      <c r="B136" s="13">
        <v>13.0</v>
      </c>
      <c r="C136" s="13" t="s">
        <v>0</v>
      </c>
      <c r="D136" s="13">
        <v>27.5</v>
      </c>
      <c r="E136" s="15" t="b">
        <v>1</v>
      </c>
      <c r="F136" s="13" t="s">
        <v>46</v>
      </c>
      <c r="G136" s="13">
        <v>14.0</v>
      </c>
      <c r="H136" s="13" t="s">
        <v>39</v>
      </c>
    </row>
    <row r="137" ht="15.75" customHeight="1">
      <c r="A137" s="13" t="s">
        <v>45</v>
      </c>
      <c r="B137" s="13">
        <v>13.0</v>
      </c>
      <c r="C137" s="13" t="s">
        <v>1</v>
      </c>
      <c r="D137" s="13">
        <v>75.0</v>
      </c>
      <c r="E137" s="15" t="b">
        <v>1</v>
      </c>
      <c r="F137" s="13" t="s">
        <v>46</v>
      </c>
      <c r="G137" s="13">
        <v>14.0</v>
      </c>
      <c r="H137" s="13" t="s">
        <v>39</v>
      </c>
    </row>
    <row r="138" ht="15.75" customHeight="1">
      <c r="A138" s="13" t="s">
        <v>45</v>
      </c>
      <c r="B138" s="13">
        <v>13.0</v>
      </c>
      <c r="C138" s="13" t="s">
        <v>3</v>
      </c>
      <c r="D138" s="13">
        <v>125.0</v>
      </c>
      <c r="E138" s="15" t="b">
        <v>1</v>
      </c>
      <c r="F138" s="13" t="s">
        <v>46</v>
      </c>
      <c r="G138" s="13">
        <v>14.0</v>
      </c>
      <c r="H138" s="13" t="s">
        <v>39</v>
      </c>
    </row>
    <row r="139" ht="15.75" customHeight="1">
      <c r="A139" s="13" t="s">
        <v>45</v>
      </c>
      <c r="B139" s="13">
        <v>13.0</v>
      </c>
      <c r="C139" s="13" t="s">
        <v>6</v>
      </c>
      <c r="D139" s="13">
        <v>-20.0</v>
      </c>
      <c r="E139" s="15" t="b">
        <v>1</v>
      </c>
      <c r="F139" s="13" t="s">
        <v>46</v>
      </c>
      <c r="G139" s="13">
        <v>14.0</v>
      </c>
      <c r="H139" s="13" t="s">
        <v>39</v>
      </c>
    </row>
    <row r="140" ht="15.75" customHeight="1">
      <c r="A140" s="13" t="s">
        <v>45</v>
      </c>
      <c r="B140" s="13">
        <v>13.0</v>
      </c>
      <c r="C140" s="13" t="s">
        <v>10</v>
      </c>
      <c r="D140" s="13">
        <v>-250.0</v>
      </c>
      <c r="E140" s="15" t="b">
        <v>1</v>
      </c>
      <c r="F140" s="13" t="s">
        <v>46</v>
      </c>
      <c r="G140" s="13">
        <v>14.0</v>
      </c>
      <c r="H140" s="13" t="s">
        <v>39</v>
      </c>
    </row>
    <row r="141" ht="15.75" customHeight="1">
      <c r="A141" s="13" t="s">
        <v>45</v>
      </c>
      <c r="B141" s="13">
        <v>13.0</v>
      </c>
      <c r="C141" s="13" t="s">
        <v>11</v>
      </c>
      <c r="D141" s="13">
        <v>25.0</v>
      </c>
      <c r="E141" s="15" t="b">
        <v>1</v>
      </c>
      <c r="F141" s="13" t="s">
        <v>46</v>
      </c>
      <c r="G141" s="13">
        <v>14.0</v>
      </c>
      <c r="H141" s="13" t="s">
        <v>39</v>
      </c>
    </row>
    <row r="142" ht="15.75" customHeight="1">
      <c r="A142" s="13" t="s">
        <v>45</v>
      </c>
      <c r="B142" s="13">
        <v>13.0</v>
      </c>
      <c r="C142" s="13" t="s">
        <v>12</v>
      </c>
      <c r="D142" s="13">
        <v>17.5</v>
      </c>
      <c r="E142" s="15" t="b">
        <v>1</v>
      </c>
      <c r="F142" s="13" t="s">
        <v>46</v>
      </c>
      <c r="G142" s="13">
        <v>14.0</v>
      </c>
      <c r="H142" s="13" t="s">
        <v>39</v>
      </c>
    </row>
    <row r="143" ht="15.75" customHeight="1">
      <c r="A143" s="13" t="s">
        <v>45</v>
      </c>
      <c r="B143" s="13">
        <v>14.0</v>
      </c>
      <c r="C143" s="13" t="s">
        <v>0</v>
      </c>
      <c r="D143" s="13">
        <v>0.0</v>
      </c>
      <c r="E143" s="15" t="b">
        <v>1</v>
      </c>
      <c r="F143" s="13" t="s">
        <v>46</v>
      </c>
      <c r="G143" s="13">
        <v>15.0</v>
      </c>
      <c r="H143" s="13" t="s">
        <v>39</v>
      </c>
    </row>
    <row r="144" ht="15.75" customHeight="1">
      <c r="A144" s="13" t="s">
        <v>45</v>
      </c>
      <c r="B144" s="13">
        <v>14.0</v>
      </c>
      <c r="C144" s="13" t="s">
        <v>1</v>
      </c>
      <c r="D144" s="13">
        <v>177.5</v>
      </c>
      <c r="E144" s="15" t="b">
        <v>1</v>
      </c>
      <c r="F144" s="13" t="s">
        <v>46</v>
      </c>
      <c r="G144" s="13">
        <v>15.0</v>
      </c>
      <c r="H144" s="13" t="s">
        <v>39</v>
      </c>
    </row>
    <row r="145" ht="15.75" customHeight="1">
      <c r="A145" s="13" t="s">
        <v>45</v>
      </c>
      <c r="B145" s="13">
        <v>14.0</v>
      </c>
      <c r="C145" s="13" t="s">
        <v>3</v>
      </c>
      <c r="D145" s="13">
        <v>50.0</v>
      </c>
      <c r="E145" s="15" t="b">
        <v>1</v>
      </c>
      <c r="F145" s="13" t="s">
        <v>46</v>
      </c>
      <c r="G145" s="13">
        <v>15.0</v>
      </c>
      <c r="H145" s="13" t="s">
        <v>39</v>
      </c>
    </row>
    <row r="146" ht="15.75" customHeight="1">
      <c r="A146" s="13" t="s">
        <v>45</v>
      </c>
      <c r="B146" s="13">
        <v>14.0</v>
      </c>
      <c r="C146" s="13" t="s">
        <v>6</v>
      </c>
      <c r="D146" s="13">
        <v>-250.0</v>
      </c>
      <c r="E146" s="15" t="b">
        <v>1</v>
      </c>
      <c r="F146" s="13" t="s">
        <v>46</v>
      </c>
      <c r="G146" s="13">
        <v>15.0</v>
      </c>
      <c r="H146" s="13" t="s">
        <v>39</v>
      </c>
    </row>
    <row r="147" ht="15.75" customHeight="1">
      <c r="A147" s="13" t="s">
        <v>45</v>
      </c>
      <c r="B147" s="13">
        <v>14.0</v>
      </c>
      <c r="C147" s="13" t="s">
        <v>10</v>
      </c>
      <c r="D147" s="13">
        <v>62.5</v>
      </c>
      <c r="E147" s="15" t="b">
        <v>1</v>
      </c>
      <c r="F147" s="13" t="s">
        <v>46</v>
      </c>
      <c r="G147" s="13">
        <v>15.0</v>
      </c>
      <c r="H147" s="13" t="s">
        <v>39</v>
      </c>
    </row>
    <row r="148" ht="15.75" customHeight="1">
      <c r="A148" s="13" t="s">
        <v>45</v>
      </c>
      <c r="B148" s="13">
        <v>14.0</v>
      </c>
      <c r="C148" s="13" t="s">
        <v>11</v>
      </c>
      <c r="D148" s="13">
        <v>12.5</v>
      </c>
      <c r="E148" s="15" t="b">
        <v>1</v>
      </c>
      <c r="F148" s="13" t="s">
        <v>46</v>
      </c>
      <c r="G148" s="13">
        <v>15.0</v>
      </c>
      <c r="H148" s="13" t="s">
        <v>39</v>
      </c>
    </row>
    <row r="149" ht="15.75" customHeight="1">
      <c r="A149" s="13" t="s">
        <v>45</v>
      </c>
      <c r="B149" s="13">
        <v>14.0</v>
      </c>
      <c r="C149" s="13" t="s">
        <v>12</v>
      </c>
      <c r="D149" s="13">
        <v>-52.5</v>
      </c>
      <c r="E149" s="15" t="b">
        <v>1</v>
      </c>
      <c r="F149" s="13" t="s">
        <v>46</v>
      </c>
      <c r="G149" s="13">
        <v>15.0</v>
      </c>
      <c r="H149" s="13" t="s">
        <v>39</v>
      </c>
    </row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